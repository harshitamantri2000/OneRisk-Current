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 sheetId="1" r:id="rId5"/>
    <sheet state="visible" name="Annexures-&gt;" sheetId="2" r:id="rId6"/>
    <sheet state="visible" name="Index" sheetId="3" r:id="rId7"/>
    <sheet state="visible" name="Company Information" sheetId="4" r:id="rId8"/>
    <sheet state="visible" name="Network Overview" sheetId="5" r:id="rId9"/>
    <sheet state="visible" name="Financials" sheetId="6" r:id="rId10"/>
    <sheet state="visible" name="Financial Analysis" sheetId="7" r:id="rId11"/>
    <sheet state="visible" name="Peer Benchmarking" sheetId="8" r:id="rId12"/>
    <sheet state="visible" name="Directors" sheetId="9" r:id="rId13"/>
    <sheet state="visible" name="Open Charges &amp; sequence" sheetId="10" r:id="rId14"/>
    <sheet state="visible" name="Auditors Details" sheetId="11" r:id="rId15"/>
    <sheet state="visible" name="Court &amp; AML" sheetId="12" r:id="rId16"/>
    <sheet state="visible" name="Labour Stats" sheetId="13" r:id="rId17"/>
    <sheet state="visible" name="Banking Analysis" sheetId="14" r:id="rId18"/>
    <sheet state="visible" name="Buyer-Supplier" sheetId="15" r:id="rId19"/>
    <sheet state="visible" name="Triangulation" sheetId="16" r:id="rId20"/>
    <sheet state="visible" name="Risk Signals" sheetId="17" r:id="rId21"/>
    <sheet state="visible" name="Macro Factors" sheetId="18" r:id="rId22"/>
  </sheets>
  <definedNames>
    <definedName hidden="1" localSheetId="16" name="_xlnm._FilterDatabase">'Risk Signals'!$B$18:$G$76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tc={0ca50f41-1ab3-41a4-b9aa-91b4483239c0}</author>
    <author>tc={7a5b37b2-d3b5-4272-89e4-28af4c2f6d7b}</author>
    <author>tc={b938e0ff-70c8-48b8-b991-9fd83f626a16}</author>
  </authors>
  <commentList>
    <comment authorId="0" xr:uid="{0ca50f41-1ab3-41a4-b9aa-91b4483239c0}" ref="C3">
      <text>
        <t xml:space="preserve">[Threaded comment]
 Your version of Excel allows you to read this threaded comment; however, any edits to it will get removed if the file is opened in a newer version of Excel. Learn more: https://go.microsoft.com/fwlink/?linkid=870924
Comment:
	@abhijit.joshi@idfy.com see if I have missed any high value risk trigger, if so please add
Assigned to abhijit.joshi@idfy.com
Reply:
	@prakarsh.paritosh@idfy.com Please add more signals
</t>
      </text>
    </comment>
    <comment authorId="1" xr:uid="{7a5b37b2-d3b5-4272-89e4-28af4c2f6d7b}" ref="C23">
      <text>
        <t xml:space="preserve">[Threaded comment]
 Your version of Excel allows you to read this threaded comment; however, any edits to it will get removed if the file is opened in a newer version of Excel. Learn more: https://go.microsoft.com/fwlink/?linkid=870924
Comment:
	Exists or exits?
</t>
      </text>
    </comment>
    <comment authorId="2" xr:uid="{b938e0ff-70c8-48b8-b991-9fd83f626a16}" ref="C25">
      <text>
        <t xml:space="preserve">[Threaded comment]
 Your version of Excel allows you to read this threaded comment; however, any edits to it will get removed if the file is opened in a newer version of Excel. Learn more: https://go.microsoft.com/fwlink/?linkid=870924
Comment:
	can do suspected shell company itself as well
</t>
      </text>
    </comment>
  </commentList>
</comments>
</file>

<file path=xl/sharedStrings.xml><?xml version="1.0" encoding="utf-8"?>
<sst xmlns="http://schemas.openxmlformats.org/spreadsheetml/2006/main" count="1527" uniqueCount="839">
  <si>
    <t>CREDIT ASSESSMENT MEMO: Overall Assessment</t>
  </si>
  <si>
    <t>Generated by IDfy AI</t>
  </si>
  <si>
    <t>Overall Risk Assessment</t>
  </si>
  <si>
    <r>
      <rPr>
        <rFont val="Arial"/>
        <color theme="1"/>
      </rPr>
      <t xml:space="preserve">Tusker Motorcycles presents a high-risk credit profile. While the company shows top-line ambition with projected revenue growth to ₹1,750L by FY2026, thin operating margins (3.3–4.4%) and a rapidly rising interest burden raise sustainability concerns. The banking analysis reveals a structural cash deficit with a debt servicing ratio of -2.27, and significant data discrepancies between banking transactions and reported financials undermine the reliability of submitted numbers. The network, though legally clean, includes loss-making entities. Macro tailwinds from GST cuts are offset by the EV transition risk. 
</t>
    </r>
    <r>
      <rPr>
        <rFont val="Arial"/>
        <b/>
        <color theme="1"/>
      </rPr>
      <t>Overall assessment</t>
    </r>
    <r>
      <rPr>
        <rFont val="Arial"/>
        <color theme="1"/>
      </rPr>
      <t>: Proceed with caution; deeper due diligence warranted before any credit exposure.</t>
    </r>
  </si>
  <si>
    <t>Company Network Profile</t>
  </si>
  <si>
    <t>Company is linked to 5 companies via common directors, none of the linked companies or directors have any adverse findings from legal standpoint, however 3 of the network companies are loss making but since there are no direct linkages between entities so does not pose any risk to company under question</t>
  </si>
  <si>
    <t>Financial Summary</t>
  </si>
  <si>
    <t>Company presents a mixed but cautiously improving financial picture over the FY2023–FY2026 (estimated/projected) period. Revenue saw a sharp dip in FY2024 — net sales fell ~9.4% from ₹1,033.65L to ₹936.6L — before recovering strongly in FY2025 (estimated +30%) and projecting aggressive growth to ₹1,750L in FY2026 (+43.7%). 
Profitability has been consistent, with net profit growing modestly from ₹30.23L (FY2023) to ₹31.08L (FY2024) and projected to reach ₹45.24L by FY2026, though operating margins remain thin at roughly 3.3–4.4% of total operating income. 
A significant concern is the rapid rise in interest costs — from ₹5.78L in FY2023 to ₹12L in FY2024, and projected to surge to ₹34.76L in FY2026 — reflecting growing debt obligations and compressing profitability headroom. 
Net worth has improved substantially from ₹14.66L (FY2023) to ₹52L (FY2024), likely due to fresh equity infusion, and is projected at ₹150L by FY2026. However, total outside liabilities are projected to balloon from ₹351L (FY2024) to ₹1,100L (FY2026), driven largely by new term loans (₹376L) and growing current liabilities, raising leverage concerns. 
The balance sheet remains working-capital intensive with large debtors (₹207–310L) and growing inventory (₹63–230L). Overall, the company shows operational resilience and top-line ambition, but the steep projected debt build-up and rising interest burden warrant close monitoring of debt serviceability in FY2026.</t>
  </si>
  <si>
    <t>Cash Flow Summary (Banking)</t>
  </si>
  <si>
    <t>The banking analysis paints a concerning picture based on analysis of operating as M/s. Tusker Motorcycles Pvt Ltd via HDFC Bank A/C 00768810000024. 
Over the 12-month period from January to December 2024, total net credits stood at ₹2.46 Cr against net debits of ₹2.49 Cr, resulting in a net cash deficit of approximately ₹20.7 lakh — meaning the company spent more than it received through the year fromt his account. Monthly transaction volumes were highly uneven, with peak credits of ₹4.06 Cr in February and a sharp drop to just ₹63.6 lakh in December, signaling significant revenue seasonality. 
The average consolidated bank balance was a modest ₹4.44 lakh, declining to ₹3.48 lakh in the last 6 months, while average monthly receipts over 6 months were ₹5.13 lakh — all quite low relative to the business scale. The liquidity and debt coverage analysis is particularly alarming: the Eligible Monthly Cash Inflow (EMCI) was ₹7.3 lakh, but the Monthly Surplus Available was negative at -₹10.15 lakh, indicating operating outflows consistently exceed median inflows. The Debt Servicing Capacity Ratio is deeply negative at -2.27, confirming the company cannot service its debt obligations from operating cash flows alone (Seen in this account). 
Further, 6 out of 12 months recorded negative net surplus (Negative Month Ratio of 0.5), and the cumulative surplus turned negative by Month 10, closing the year at -₹4.79 lakh. The cash inflow volatility (CV) of 0.36 and a cash spike dependency ratio of 0.38 indicate the business relies on a few large, irregular inflows to sustain operations. The system has flagged the overall liquidity health as "Structural Deficit" — a serious red flag that suggests the company's banking behavior does not adequately support its stated revenue scale and warrants deeper due diligence before any credit exposure.</t>
  </si>
  <si>
    <t>Multi-data Triangulation Summary</t>
  </si>
  <si>
    <t>When triangulating data between systems, multiple gaps were observed:
- Significant deviation between banking cash flows vs what are observed on income statement ; likely more accounts exists where cash is aggregated
- While related party transactions declared in ITR were to the tune of 50L, the transfers to sister concerns (as per company network) over 2Cr worth of transactions were observed
- No wage expense was observed in bank statement while 10% of expenses in ITR were attributed towards wages;
- No utility expenses were observed in transaction while ITR declares expense
Overall significant data discrepencies observed, likely due to presence of other bank accounts, if this is the primary bank account than business cash flows do not match with what financials are submitted</t>
  </si>
  <si>
    <t>Macro-economic Factors</t>
  </si>
  <si>
    <t>Macro-economic factors largely look positive, with GST cuts and related retail demand expected to go up, this should benefit Tusker as its customers are largely retail. Only tailwind is growing preference towards electric vehicles while the current business seems to be largely internal combustion engines</t>
  </si>
  <si>
    <t>Annexures</t>
  </si>
  <si>
    <t>subsequent tabs have detailed data on case which has helped in creation of CAM</t>
  </si>
  <si>
    <t>CREDIT ASSESSMENT MEMO: INDEX</t>
  </si>
  <si>
    <t>Section</t>
  </si>
  <si>
    <t>Description</t>
  </si>
  <si>
    <t>Overall Summary</t>
  </si>
  <si>
    <t>Overall Summary of the case considering all the data points available</t>
  </si>
  <si>
    <t>Company Information</t>
  </si>
  <si>
    <t>General company details (CIN, PAN, Address, Industry)</t>
  </si>
  <si>
    <t>Network Overview</t>
  </si>
  <si>
    <t>Corporate network, subsidiaries, and risk levels</t>
  </si>
  <si>
    <t>Financials</t>
  </si>
  <si>
    <t>Historical (2023-24) and projected (2025-26) financials</t>
  </si>
  <si>
    <t>Financial Analysis</t>
  </si>
  <si>
    <t>Key financial ratios (Liquidity, Solvency, Efficiency) &amp; Derived metric</t>
  </si>
  <si>
    <t>Peer Benchmarking</t>
  </si>
  <si>
    <t>Comparison with industry peers by revenue and growth</t>
  </si>
  <si>
    <t>Directors</t>
  </si>
  <si>
    <t>Board of Directors information and co-directorships</t>
  </si>
  <si>
    <t>Open Charges &amp; sequence</t>
  </si>
  <si>
    <t>Secured loans, charges created and satisfied</t>
  </si>
  <si>
    <t>Auditors Details</t>
  </si>
  <si>
    <t>Auditor history and comments (Adverse comments check)</t>
  </si>
  <si>
    <t>Court &amp; AML</t>
  </si>
  <si>
    <t>Legal and compliance records (Entity and Directors)</t>
  </si>
  <si>
    <t>Labour Stats</t>
  </si>
  <si>
    <t>Employee and EPFO statistics and filing regularity</t>
  </si>
  <si>
    <t>Banking Analysis</t>
  </si>
  <si>
    <t>Bank statement analysis (HDFC, IDFC, Kotak)</t>
  </si>
  <si>
    <t>Buyer-Supplier</t>
  </si>
  <si>
    <t>Top buyers and suppliers and transaction concentration</t>
  </si>
  <si>
    <t>Multi source Triangulation</t>
  </si>
  <si>
    <t>Data reconciliation across ITR, GST, MCA, and BSA</t>
  </si>
  <si>
    <t>Bureau-BSA Triangulation</t>
  </si>
  <si>
    <t>Credit bureau vs bank statement reconciliation</t>
  </si>
  <si>
    <t>ITR-BSA</t>
  </si>
  <si>
    <t>Tax filing vs bank statement forensic cross-verification</t>
  </si>
  <si>
    <t>MCA-BSA</t>
  </si>
  <si>
    <t>MCA filings vs bank statement reconciliation</t>
  </si>
  <si>
    <t>Risk Signals</t>
  </si>
  <si>
    <t>Consolidated risk flags and AI-driven summary</t>
  </si>
  <si>
    <t>Macro-Economic Factors</t>
  </si>
  <si>
    <t>Industry and economic outlook for the Auto sector</t>
  </si>
  <si>
    <t>CREDIT ASSESSMENT MEMO: COMPANY INFORMATION</t>
  </si>
  <si>
    <t>Legal Name</t>
  </si>
  <si>
    <t>TUSKER MOTORCYCLES PRIVATE LIMITED</t>
  </si>
  <si>
    <t>CIN</t>
  </si>
  <si>
    <t>U50300KA2010PTC053218</t>
  </si>
  <si>
    <t>PAN</t>
  </si>
  <si>
    <t>AADCT4257G</t>
  </si>
  <si>
    <t>Authorised Capital</t>
  </si>
  <si>
    <t>2500000</t>
  </si>
  <si>
    <t>Paid Up Capital</t>
  </si>
  <si>
    <t>1030000</t>
  </si>
  <si>
    <t>Sum of Charges</t>
  </si>
  <si>
    <t>77000000</t>
  </si>
  <si>
    <t>E-Filing Status</t>
  </si>
  <si>
    <t>Active</t>
  </si>
  <si>
    <t>Active Compliance</t>
  </si>
  <si>
    <t>ACTIVE compliant</t>
  </si>
  <si>
    <t>REGISTERED ADDRESS:</t>
  </si>
  <si>
    <t>Address</t>
  </si>
  <si>
    <t>NO.55/2   LAVELLE ROAD, BANGALORE, Karnataka - 560001</t>
  </si>
  <si>
    <t>BUSINESS ADDRESS:</t>
  </si>
  <si>
    <t>55/2,, Lavelle Road, Bengaluru, Karnataka - 560001</t>
  </si>
  <si>
    <t>Email</t>
  </si>
  <si>
    <t>krsrinivasreddy@gmail.com</t>
  </si>
  <si>
    <t>Phone</t>
  </si>
  <si>
    <t>08041467676</t>
  </si>
  <si>
    <t>About the Entity</t>
  </si>
  <si>
    <t>Tusker Motorcycles Private Limited (TMPL), as per its annual filings, is carrying on the business of trading in motorcycles, parts, accessories, merchandise, and related services. The company was incorporated in 2010 and the registered office of the company is located in Bangalore, Karnataka.</t>
  </si>
  <si>
    <t>Type of Entity</t>
  </si>
  <si>
    <t>Private Limited Indian Non-Government Company</t>
  </si>
  <si>
    <t>Listing Status</t>
  </si>
  <si>
    <t>Unlisted</t>
  </si>
  <si>
    <t>Date of Incorporation</t>
  </si>
  <si>
    <t>15 Apr, 2010</t>
  </si>
  <si>
    <t>Date of Last AGM</t>
  </si>
  <si>
    <t>15 Nov, 2024</t>
  </si>
  <si>
    <t>LEI</t>
  </si>
  <si>
    <t>-</t>
  </si>
  <si>
    <t>BROAD INDUSTRY CATEGORY</t>
  </si>
  <si>
    <t>Industry</t>
  </si>
  <si>
    <t>Segment(s)</t>
  </si>
  <si>
    <t>Automobiles</t>
  </si>
  <si>
    <t>Auto and Auto Components Dealers</t>
  </si>
  <si>
    <t>CREDIT ASSESSMENT MEMO: NETWORK OVERVIEW</t>
  </si>
  <si>
    <t>Primary Entity</t>
  </si>
  <si>
    <t>Name</t>
  </si>
  <si>
    <t>Registered Address</t>
  </si>
  <si>
    <t>AI Summary</t>
  </si>
  <si>
    <t>Loss-making entity presents higher risk, Auditor concerns about financial reporting.</t>
  </si>
  <si>
    <t>Risk Level</t>
  </si>
  <si>
    <t>Medium</t>
  </si>
  <si>
    <t>Network Composition</t>
  </si>
  <si>
    <t>Holding Company</t>
  </si>
  <si>
    <t>Subsidiary Company</t>
  </si>
  <si>
    <t>Associate Company</t>
  </si>
  <si>
    <t>Joint Venture</t>
  </si>
  <si>
    <t>Co-Directorship</t>
  </si>
  <si>
    <t>Network Details</t>
  </si>
  <si>
    <t>Company Name</t>
  </si>
  <si>
    <t>Relation</t>
  </si>
  <si>
    <t>Risk Outlook</t>
  </si>
  <si>
    <t>PRIMARY ENTITY</t>
  </si>
  <si>
    <t>Low</t>
  </si>
  <si>
    <t>This entity presents a Low risk profile with minimal concerns.</t>
  </si>
  <si>
    <t>SATURN MOTORS PRIVATE LIMITED</t>
  </si>
  <si>
    <t>COMMON DIRECTOR</t>
  </si>
  <si>
    <t>This entity presents a Medium risk profile driven by its loss-making status and auditor concerns regarding financial reporting.</t>
  </si>
  <si>
    <t>TUSKER ENTERPRISES PRIVATE LIMITED</t>
  </si>
  <si>
    <t>DREAM CATCHERS MANAGEMENT SERVICES PRIVATE LIMITED</t>
  </si>
  <si>
    <t>This entity presents a Medium risk profile driven by a significant decline in revenue, indicating financial stress, alongside its loss-making operations.</t>
  </si>
  <si>
    <t>RAGHAVA REDDY CONSTRUCTIONS PRIVATE LIMITED</t>
  </si>
  <si>
    <t>TUSKER PAM PRIVATE LIMITED</t>
  </si>
  <si>
    <t>Director List</t>
  </si>
  <si>
    <t>DIN</t>
  </si>
  <si>
    <t>Common Directorships</t>
  </si>
  <si>
    <t>KUMAR REDDY KASI REDDY RAGHAVA REDDY</t>
  </si>
  <si>
    <t>00839475</t>
  </si>
  <si>
    <t>SRINIVAS REDDY KASI RAGHAVAREDDY</t>
  </si>
  <si>
    <t>02989643</t>
  </si>
  <si>
    <t>KASI RAGHAVA REDDY</t>
  </si>
  <si>
    <t>00839580</t>
  </si>
  <si>
    <t>KASIRAGHAVA JAYACHANDRA REDDY</t>
  </si>
  <si>
    <t>05137601</t>
  </si>
  <si>
    <t>CREDIT ASSESSMENT MEMO: AGGREGATED FINANCIALS</t>
  </si>
  <si>
    <t>all values in INR lakhs</t>
  </si>
  <si>
    <t>Name of the Company</t>
  </si>
  <si>
    <t>Tuskers motorcylce pvt ltd</t>
  </si>
  <si>
    <t>Last year of audited / provisional results</t>
  </si>
  <si>
    <t>Currency</t>
  </si>
  <si>
    <t>INR</t>
  </si>
  <si>
    <t>Auditors</t>
  </si>
  <si>
    <t>M/s. D. Prasanna &amp; Co</t>
  </si>
  <si>
    <t>Year ended (DD-Mon-YYYY)</t>
  </si>
  <si>
    <t>No. Of  Months</t>
  </si>
  <si>
    <t>Exchange Rate</t>
  </si>
  <si>
    <t>Audited</t>
  </si>
  <si>
    <t>Projected</t>
  </si>
  <si>
    <t>PROFIT &amp; LOSS ACCOUNT</t>
  </si>
  <si>
    <t>Net Sales (Prior period)</t>
  </si>
  <si>
    <t>Net Sales</t>
  </si>
  <si>
    <t>Estimates of Net sales for the current year as given in the previous year</t>
  </si>
  <si>
    <t>% wise rise/fall in net sales as compared to previous year</t>
  </si>
  <si>
    <t>Other Operating Income</t>
  </si>
  <si>
    <t>Total Operating Income</t>
  </si>
  <si>
    <t>Depreciation</t>
  </si>
  <si>
    <t>Other Non-Cash Expenses</t>
  </si>
  <si>
    <t>Other Operating Expenses (Cost of Sales + SGA)</t>
  </si>
  <si>
    <t>Operating Profit</t>
  </si>
  <si>
    <t>Non-operating Income</t>
  </si>
  <si>
    <t>Non-operating Expenses</t>
  </si>
  <si>
    <t>Net of Non-operating Income / Expenses</t>
  </si>
  <si>
    <t>Profit Before Interest Depreciation &amp; Taxes (PBDIT)</t>
  </si>
  <si>
    <t>Interest</t>
  </si>
  <si>
    <t>Profit Before tax</t>
  </si>
  <si>
    <t>Provision for taxation</t>
  </si>
  <si>
    <t>Net Profit After tax</t>
  </si>
  <si>
    <t>Cash Accruals</t>
  </si>
  <si>
    <t>BALANCE SHEET (LIABILITIES )</t>
  </si>
  <si>
    <t>Equity Share Capital</t>
  </si>
  <si>
    <t>Reserves &amp; Surplus excluding Revaluation Reserve</t>
  </si>
  <si>
    <t>Net Worth (NW)</t>
  </si>
  <si>
    <t>Revaluation Reserve</t>
  </si>
  <si>
    <t>Term Loans not due within 1 year</t>
  </si>
  <si>
    <t>Other Term Liabilities</t>
  </si>
  <si>
    <t>Total Term Liabilities</t>
  </si>
  <si>
    <t>Sundry Creditors</t>
  </si>
  <si>
    <t>Term Loan due within 1 year</t>
  </si>
  <si>
    <t>Other Current Liabilities</t>
  </si>
  <si>
    <t>Total Current Liabilities</t>
  </si>
  <si>
    <t>Total Outside Liabilities</t>
  </si>
  <si>
    <t>Total Liabilities</t>
  </si>
  <si>
    <t>BALANCE SHEET (ASSETS)</t>
  </si>
  <si>
    <t>Intangible Assets: Goodwill, Patents &amp; trademarks</t>
  </si>
  <si>
    <t>Gross Fixed Assets</t>
  </si>
  <si>
    <t>Less: Accumulated Depreciation</t>
  </si>
  <si>
    <t>Net Fixed Assets</t>
  </si>
  <si>
    <t>Investments and loans &amp; advances in group entities</t>
  </si>
  <si>
    <t>Other non-current assets</t>
  </si>
  <si>
    <t>Total non-current assets</t>
  </si>
  <si>
    <t>Debtors (&gt; 6 months)</t>
  </si>
  <si>
    <t>Cash &amp; Bank Balances</t>
  </si>
  <si>
    <t>Inventory</t>
  </si>
  <si>
    <t>Debtors (&lt; 6 months)</t>
  </si>
  <si>
    <t>Other Current Assets</t>
  </si>
  <si>
    <t>Total Current Assets</t>
  </si>
  <si>
    <t>Total Assets</t>
  </si>
  <si>
    <t>Difference in Balance Sheet</t>
  </si>
  <si>
    <t>Tangible Net Worth (TNW)</t>
  </si>
  <si>
    <t>Adjusted Tangible Net Worth (Adjusted TNW)</t>
  </si>
  <si>
    <t>CREDIT ASSESSMENT MEMO: FINANCIAL ANALYSIS</t>
  </si>
  <si>
    <t>Particulars</t>
  </si>
  <si>
    <t>Estimated</t>
  </si>
  <si>
    <t>31-Mar-2023</t>
  </si>
  <si>
    <t>31-Mar-2024</t>
  </si>
  <si>
    <t>31-Mar-2025</t>
  </si>
  <si>
    <t>31-Mar-2026</t>
  </si>
  <si>
    <t>31-Mar-2027</t>
  </si>
  <si>
    <t>PAT</t>
  </si>
  <si>
    <t>PBDIT Margin (%)</t>
  </si>
  <si>
    <t>PAT (%)</t>
  </si>
  <si>
    <t>TNW</t>
  </si>
  <si>
    <t>Turnover to Fixed Assets Ratio</t>
  </si>
  <si>
    <t>TTL/Cash Accruals</t>
  </si>
  <si>
    <t>TOL/TNW</t>
  </si>
  <si>
    <t>Current Ratio</t>
  </si>
  <si>
    <t>Current Ratio (Without TL Instt.)</t>
  </si>
  <si>
    <t>Interest Coverage</t>
  </si>
  <si>
    <t>DSCR</t>
  </si>
  <si>
    <t>NA</t>
  </si>
  <si>
    <t>ROCE%</t>
  </si>
  <si>
    <t>Inventory Holding</t>
  </si>
  <si>
    <t>Debtors Holding</t>
  </si>
  <si>
    <t>Creditors Holding</t>
  </si>
  <si>
    <t>CREDIT ASSESSMENT MEMO: PEER BENCHMARKING</t>
  </si>
  <si>
    <t>Parameters</t>
  </si>
  <si>
    <t>Company</t>
  </si>
  <si>
    <t>Peers</t>
  </si>
  <si>
    <t>Revenue (Rs)</t>
  </si>
  <si>
    <t>Revenue Growth (%)</t>
  </si>
  <si>
    <t>EBITDA Margin (%)</t>
  </si>
  <si>
    <t>Net Margin (%)</t>
  </si>
  <si>
    <t>Return on Equity (%)</t>
  </si>
  <si>
    <t>Debt / Equity</t>
  </si>
  <si>
    <t>Inventory / Sales (Days)</t>
  </si>
  <si>
    <t>Debtors / Sales (Days)</t>
  </si>
  <si>
    <t>Payables / Sales (Days)</t>
  </si>
  <si>
    <t>Cash Conversion Cycle (Days)</t>
  </si>
  <si>
    <t>Sales / Net Fixed Assets</t>
  </si>
  <si>
    <t>Revenue Peers Considered</t>
  </si>
  <si>
    <t>LEGAL NAME</t>
  </si>
  <si>
    <t>CITY</t>
  </si>
  <si>
    <t>REVENUE (Rs)</t>
  </si>
  <si>
    <t>POOMKUDY AUTO SERVICE PVT LTD</t>
  </si>
  <si>
    <t>KOCHI</t>
  </si>
  <si>
    <t>CRUST CONCEPT MARKETING PRIVATE LIMITED</t>
  </si>
  <si>
    <t>BENGALURU</t>
  </si>
  <si>
    <t>Bengaluru</t>
  </si>
  <si>
    <t>OPULENT AUTO CARE PRIVATE LIMITED</t>
  </si>
  <si>
    <t>PUNE</t>
  </si>
  <si>
    <t>GOENKA GREEN PRIVATE LIMITED</t>
  </si>
  <si>
    <t>VARANASI</t>
  </si>
  <si>
    <t>CREDIT ASSESSMENT MEMO: DIRECTORS</t>
  </si>
  <si>
    <t>NAME</t>
  </si>
  <si>
    <t>AGE</t>
  </si>
  <si>
    <t>GENDER</t>
  </si>
  <si>
    <t>NATIONALITY</t>
  </si>
  <si>
    <t>PRESENT DESIGNATION</t>
  </si>
  <si>
    <t>PDAD</t>
  </si>
  <si>
    <t>APPOINTMENT DATE</t>
  </si>
  <si>
    <t>DATE OF CESSATION</t>
  </si>
  <si>
    <t>ADDRESS</t>
  </si>
  <si>
    <t>Male</t>
  </si>
  <si>
    <t>India</t>
  </si>
  <si>
    <t>Director</t>
  </si>
  <si>
    <t>30 Sep, 2019</t>
  </si>
  <si>
    <t>27 Sep, 2019</t>
  </si>
  <si>
    <t xml:space="preserve"> </t>
  </si>
  <si>
    <t>AARTI REDDY SRINIVAS</t>
  </si>
  <si>
    <t>02989648</t>
  </si>
  <si>
    <t>01 Jun, 2020</t>
  </si>
  <si>
    <t>CREDIT ASSESSMENT MEMO: OPEN CHARGES &amp; SEQUENCE</t>
  </si>
  <si>
    <t>CHARGE ID</t>
  </si>
  <si>
    <t>STATUS</t>
  </si>
  <si>
    <t>DATE</t>
  </si>
  <si>
    <t>FILING DATE</t>
  </si>
  <si>
    <t>HOLDER NAME</t>
  </si>
  <si>
    <t>CHARGE AMOUNT</t>
  </si>
  <si>
    <t>PROPERTY TYPE</t>
  </si>
  <si>
    <t>NUMBER OF HOLDERS</t>
  </si>
  <si>
    <t>100810199</t>
  </si>
  <si>
    <t>Creation</t>
  </si>
  <si>
    <t>29 Sep, 2023</t>
  </si>
  <si>
    <t>15 Nov, 2023</t>
  </si>
  <si>
    <t>IDFC FIRST BANK LIMITED</t>
  </si>
  <si>
    <t>10000000</t>
  </si>
  <si>
    <t>Movable property - Equipment and Machinery,Movable property - Inventory (incl. Receivables)</t>
  </si>
  <si>
    <t>1</t>
  </si>
  <si>
    <t>100482950</t>
  </si>
  <si>
    <t>Satisfaction</t>
  </si>
  <si>
    <t>29 Jan, 2023</t>
  </si>
  <si>
    <t>29 May, 2023</t>
  </si>
  <si>
    <t>KOTAK MAHINDRA BANK LIMITED</t>
  </si>
  <si>
    <t>9925000</t>
  </si>
  <si>
    <t>27 Sep, 2021</t>
  </si>
  <si>
    <t>29 Sep, 2021</t>
  </si>
  <si>
    <t>Floating charge,Others (Current Assets and CGTMSE)</t>
  </si>
  <si>
    <t>100078463</t>
  </si>
  <si>
    <t>31 Aug, 2023</t>
  </si>
  <si>
    <t>01 Sep, 2023</t>
  </si>
  <si>
    <t>HDFC BANK LIMITED</t>
  </si>
  <si>
    <t>48000000</t>
  </si>
  <si>
    <t>Modification</t>
  </si>
  <si>
    <t>24 Aug, 2018</t>
  </si>
  <si>
    <t>17 Nov, 2018</t>
  </si>
  <si>
    <t>Others (Fixed Deposits / Cash Deposits)</t>
  </si>
  <si>
    <t>30 Jan, 2017</t>
  </si>
  <si>
    <t>22 Feb, 2017</t>
  </si>
  <si>
    <t>5000000</t>
  </si>
  <si>
    <t>10412587</t>
  </si>
  <si>
    <t>Book debts,Movable property (not being pledge),Floating charge</t>
  </si>
  <si>
    <t>25 Nov, 2014</t>
  </si>
  <si>
    <t>19 Jan, 2015</t>
  </si>
  <si>
    <t>25000000</t>
  </si>
  <si>
    <t>06 Nov, 2013</t>
  </si>
  <si>
    <t>19 Nov, 2013</t>
  </si>
  <si>
    <t>Book debts,Movable property (not being pledge),Others (Stocks and Book Debts at Division of Bangalore.)</t>
  </si>
  <si>
    <t>08 Feb, 2013</t>
  </si>
  <si>
    <t>24 Mar, 2013</t>
  </si>
  <si>
    <t>CREDIT ASSESSMENT MEMO: AUDITORS DETAILS</t>
  </si>
  <si>
    <t>YEAR</t>
  </si>
  <si>
    <t>AUDITOR'S NAME</t>
  </si>
  <si>
    <t>TYPE</t>
  </si>
  <si>
    <t>AUDITOR'S MEMBERSHIP NO.</t>
  </si>
  <si>
    <t>ADVERSE COMMENTS</t>
  </si>
  <si>
    <t>AUDITOR'S FIRM NAME</t>
  </si>
  <si>
    <t>FIRM'S REGISTRATION NO.</t>
  </si>
  <si>
    <t>PAN (of firm or auditor)</t>
  </si>
  <si>
    <t>ADDRESS (of firm or auditor)</t>
  </si>
  <si>
    <t>2024</t>
  </si>
  <si>
    <t>MURALI KRISHNA K S</t>
  </si>
  <si>
    <t>STANDALONE</t>
  </si>
  <si>
    <t>211549</t>
  </si>
  <si>
    <t>No</t>
  </si>
  <si>
    <t>MURALI AND SUMEET</t>
  </si>
  <si>
    <t>010590S</t>
  </si>
  <si>
    <t>ABAFS5150N</t>
  </si>
  <si>
    <t>#37/38, FFB 1 ST FLOOR ,RAMA RESIDENCY BANGALORE Karnataka India 560001</t>
  </si>
  <si>
    <t>2023</t>
  </si>
  <si>
    <t>#37/38, FFB 1 ST FLOOR ,RAMA RESIDENCY SHIVAJI NAGAR , HOSPITAL ROAD BANGALORE KA IN 560001</t>
  </si>
  <si>
    <t>2022</t>
  </si>
  <si>
    <t>2021</t>
  </si>
  <si>
    <t>2020</t>
  </si>
  <si>
    <t>2019</t>
  </si>
  <si>
    <t>2018</t>
  </si>
  <si>
    <t>2017</t>
  </si>
  <si>
    <t>2016</t>
  </si>
  <si>
    <t>Yes</t>
  </si>
  <si>
    <t>2015</t>
  </si>
  <si>
    <t>37/38, FFB 1ST FLOOR, RAMA RESIDENCY, HOSPITAL ROAD BANGALORE Karnataka India 560001</t>
  </si>
  <si>
    <t>CREDIT ASSESSMENT MEMO: COURT &amp; AML</t>
  </si>
  <si>
    <t>Highlight</t>
  </si>
  <si>
    <t>Legal Records (Entity)</t>
  </si>
  <si>
    <t>Legal Records (Director)</t>
  </si>
  <si>
    <t>Sanctions Records</t>
  </si>
  <si>
    <t>PEP Records</t>
  </si>
  <si>
    <t>Blacklist Records</t>
  </si>
  <si>
    <t>Adverse Media Mentions</t>
  </si>
  <si>
    <t>Court Records Details</t>
  </si>
  <si>
    <t>Entity Records</t>
  </si>
  <si>
    <t>CIN No</t>
  </si>
  <si>
    <t>Case Type</t>
  </si>
  <si>
    <t>Court Type</t>
  </si>
  <si>
    <t>Severity</t>
  </si>
  <si>
    <t>Risk</t>
  </si>
  <si>
    <t>Case Status</t>
  </si>
  <si>
    <t>Civil</t>
  </si>
  <si>
    <t>MCA Court</t>
  </si>
  <si>
    <t>MCA defaulter list.</t>
  </si>
  <si>
    <t>Average Risk</t>
  </si>
  <si>
    <t>Other</t>
  </si>
  <si>
    <t>Consumer Court</t>
  </si>
  <si>
    <t>Consumer Case</t>
  </si>
  <si>
    <t>Disposed</t>
  </si>
  <si>
    <t>State Commision</t>
  </si>
  <si>
    <t>Consumer Appeal - State Commission</t>
  </si>
  <si>
    <t>Revision case</t>
  </si>
  <si>
    <t>Director Records</t>
  </si>
  <si>
    <t>KUMAR REDDY KASI REDDY RAGHAVA REDDY's Court Records</t>
  </si>
  <si>
    <t>Criminal</t>
  </si>
  <si>
    <t>Magistrate Court</t>
  </si>
  <si>
    <t>Forgery</t>
  </si>
  <si>
    <t>Low Risk</t>
  </si>
  <si>
    <t>High Court</t>
  </si>
  <si>
    <t xml:space="preserve">Civil appeal </t>
  </si>
  <si>
    <t>Quashing Petition</t>
  </si>
  <si>
    <t>Civil Court</t>
  </si>
  <si>
    <t>Civil suit</t>
  </si>
  <si>
    <t>Pending</t>
  </si>
  <si>
    <t>SRINIVAS REDDY KASI RAGHAVAREDDY's Court Records</t>
  </si>
  <si>
    <t>AML Records</t>
  </si>
  <si>
    <t>Entity Name</t>
  </si>
  <si>
    <t>Type</t>
  </si>
  <si>
    <t>List</t>
  </si>
  <si>
    <t>ID NO</t>
  </si>
  <si>
    <t>KUMAR REDDY KASI REDDY RAGHAVA REDDY's AML Records</t>
  </si>
  <si>
    <t>SRINIVAS REDDY KASI RAGHAVAREDDY's AML Records</t>
  </si>
  <si>
    <t>CREDIT ASSESSMENT MEMO: LABOUR STATS</t>
  </si>
  <si>
    <t>Establishment Name</t>
  </si>
  <si>
    <t>Establishment ID</t>
  </si>
  <si>
    <t>Status</t>
  </si>
  <si>
    <t>Setup Date</t>
  </si>
  <si>
    <t>Establishment Address</t>
  </si>
  <si>
    <t>EPFO Employee Count</t>
  </si>
  <si>
    <t>EPFO Amount (Rs)</t>
  </si>
  <si>
    <t>Filing type</t>
  </si>
  <si>
    <t>Filling Due Date</t>
  </si>
  <si>
    <t>Date of Filling</t>
  </si>
  <si>
    <t>Delayed by (Days)</t>
  </si>
  <si>
    <t>Flag</t>
  </si>
  <si>
    <t>Tusker Motorcycles Private Limited</t>
  </si>
  <si>
    <t>BGBNG1423907000</t>
  </si>
  <si>
    <t>Live Establishment</t>
  </si>
  <si>
    <t>55/2, LAVELLE ROAD,BENGALURU-560001  ,BANGALORE,KARNATAKA,560001,India</t>
  </si>
  <si>
    <t>15</t>
  </si>
  <si>
    <t>56250</t>
  </si>
  <si>
    <t>December 2023</t>
  </si>
  <si>
    <t>15 Jan, 2024</t>
  </si>
  <si>
    <t>12 Mar, 2024</t>
  </si>
  <si>
    <t>57</t>
  </si>
  <si>
    <t>Delayed Filing</t>
  </si>
  <si>
    <t>November 2023</t>
  </si>
  <si>
    <t>15 Dec, 2023</t>
  </si>
  <si>
    <t>88</t>
  </si>
  <si>
    <t>October 2023</t>
  </si>
  <si>
    <t>11 Mar, 2024</t>
  </si>
  <si>
    <t>117</t>
  </si>
  <si>
    <t>August 2023</t>
  </si>
  <si>
    <t>15 Sep, 2023</t>
  </si>
  <si>
    <t>178</t>
  </si>
  <si>
    <t>July 2023</t>
  </si>
  <si>
    <t>15 Aug, 2023</t>
  </si>
  <si>
    <t>209</t>
  </si>
  <si>
    <t>June 2023</t>
  </si>
  <si>
    <t>15 Jul, 2023</t>
  </si>
  <si>
    <t>04 Dec, 2023</t>
  </si>
  <si>
    <t>142</t>
  </si>
  <si>
    <t>May 2023</t>
  </si>
  <si>
    <t>15 Jun, 2023</t>
  </si>
  <si>
    <t>172</t>
  </si>
  <si>
    <t>April 2023</t>
  </si>
  <si>
    <t>15 May, 2023</t>
  </si>
  <si>
    <t>203</t>
  </si>
  <si>
    <t>March 2023</t>
  </si>
  <si>
    <t>15 Apr, 2023</t>
  </si>
  <si>
    <t>02 Nov, 2023</t>
  </si>
  <si>
    <t>201</t>
  </si>
  <si>
    <t>February 2023</t>
  </si>
  <si>
    <t>15 Mar, 2023</t>
  </si>
  <si>
    <t>05 Sep, 2023</t>
  </si>
  <si>
    <t>174</t>
  </si>
  <si>
    <t>January 2023</t>
  </si>
  <si>
    <t>15 Feb, 2023</t>
  </si>
  <si>
    <t>14 Aug, 2023</t>
  </si>
  <si>
    <t>180</t>
  </si>
  <si>
    <t>December 2022</t>
  </si>
  <si>
    <t>15 Jan, 2023</t>
  </si>
  <si>
    <t>12 May, 2023</t>
  </si>
  <si>
    <t>November 2022</t>
  </si>
  <si>
    <t>15 Dec, 2022</t>
  </si>
  <si>
    <t>02 Feb, 2023</t>
  </si>
  <si>
    <t>49</t>
  </si>
  <si>
    <t>October 2022</t>
  </si>
  <si>
    <t>15 Nov, 2022</t>
  </si>
  <si>
    <t>79</t>
  </si>
  <si>
    <t>September 2022</t>
  </si>
  <si>
    <t>15 Oct, 2022</t>
  </si>
  <si>
    <t>16 Nov, 2022</t>
  </si>
  <si>
    <t>32</t>
  </si>
  <si>
    <t>August 2022</t>
  </si>
  <si>
    <t>15 Sep, 2022</t>
  </si>
  <si>
    <t>22 Sep, 2022</t>
  </si>
  <si>
    <t>7</t>
  </si>
  <si>
    <t>July 2022</t>
  </si>
  <si>
    <t>15 Aug, 2022</t>
  </si>
  <si>
    <t>17 Aug, 2022</t>
  </si>
  <si>
    <t>2</t>
  </si>
  <si>
    <t>June 2022</t>
  </si>
  <si>
    <t>15 Jul, 2022</t>
  </si>
  <si>
    <t>16 Jul, 2022</t>
  </si>
  <si>
    <t>May 2022</t>
  </si>
  <si>
    <t>15 Jun, 2022</t>
  </si>
  <si>
    <t>18 Jun, 2022</t>
  </si>
  <si>
    <t>3</t>
  </si>
  <si>
    <t>March 2022</t>
  </si>
  <si>
    <t>15 Apr, 2022</t>
  </si>
  <si>
    <t>22 Apr, 2022</t>
  </si>
  <si>
    <t>February 2022</t>
  </si>
  <si>
    <t>15 Mar, 2022</t>
  </si>
  <si>
    <t>16 Mar, 2022</t>
  </si>
  <si>
    <t>January 2022</t>
  </si>
  <si>
    <t>15 Feb, 2022</t>
  </si>
  <si>
    <t>24 Feb, 2022</t>
  </si>
  <si>
    <t>9</t>
  </si>
  <si>
    <t>CREDIT ASSESSMENT MEMO: BANKING ANALYSIS</t>
  </si>
  <si>
    <t>Risk Metric</t>
  </si>
  <si>
    <t>Eligible Monthly Cash Inflow (EMCI)
(Median of operating inflows)</t>
  </si>
  <si>
    <t>Monthly Surplus Available
(EMCI- Median of operating outflows)</t>
  </si>
  <si>
    <t>Debt Servicing Capacity Ratio
(Formula adjusted based on Business Health)</t>
  </si>
  <si>
    <t>CV Inflow
(Std Dev (Inflow)/Mean(Inflow))</t>
  </si>
  <si>
    <t>Cash spike dependency ratio
(Top 3 inflow/Total annual inflow)</t>
  </si>
  <si>
    <t>Negative Month Ratio
(Total months with negative monthly surplus)</t>
  </si>
  <si>
    <t>Total Negative Surplus
(Count of months with negative net surplus)</t>
  </si>
  <si>
    <t>Total Positive Surplus
(Count of months with positive net surplus)</t>
  </si>
  <si>
    <t>Balance Profile</t>
  </si>
  <si>
    <t>Average Balance (Consolidated)</t>
  </si>
  <si>
    <t>Average Balance(Last 6 Month)</t>
  </si>
  <si>
    <t>Average Receipt(6 months)</t>
  </si>
  <si>
    <t>CONSOLIDATED BANKING FIGURES</t>
  </si>
  <si>
    <t>Net Credit</t>
  </si>
  <si>
    <t>Net Debit</t>
  </si>
  <si>
    <t>Net Income</t>
  </si>
  <si>
    <t>Total (Accnt - 00768810000024)</t>
  </si>
  <si>
    <t>Aggregated Total</t>
  </si>
  <si>
    <t>CASHFLOW PROFILE</t>
  </si>
  <si>
    <t>CREDIT</t>
  </si>
  <si>
    <t>DEBIT</t>
  </si>
  <si>
    <t>LOANS</t>
  </si>
  <si>
    <t>EOD BALANCES</t>
  </si>
  <si>
    <t>Month</t>
  </si>
  <si>
    <t>No. of Net Credits</t>
  </si>
  <si>
    <t>Net Monthly Credit</t>
  </si>
  <si>
    <t>Internal Transfer Credits</t>
  </si>
  <si>
    <t>No. of Credits</t>
  </si>
  <si>
    <t>Gross Monthly Credits</t>
  </si>
  <si>
    <t>No. of Net Debits</t>
  </si>
  <si>
    <t>Net Monthly Debit</t>
  </si>
  <si>
    <t>Internal Transfer Debits</t>
  </si>
  <si>
    <t>No. of Debits</t>
  </si>
  <si>
    <t>Gross Monthly Debits</t>
  </si>
  <si>
    <t>Loan Disbursal</t>
  </si>
  <si>
    <t>Balance on 5th</t>
  </si>
  <si>
    <t>Balance on 10th</t>
  </si>
  <si>
    <t>Balance on 15th</t>
  </si>
  <si>
    <t>Balance on 20th</t>
  </si>
  <si>
    <t>Balance on 25th</t>
  </si>
  <si>
    <t>Average utilization per month</t>
  </si>
  <si>
    <t>Grand Total</t>
  </si>
  <si>
    <t>Liquidity and Debt Coverage Analysis</t>
  </si>
  <si>
    <t>Monthly operating inflow</t>
  </si>
  <si>
    <t>Monthly operating outflow</t>
  </si>
  <si>
    <t>Monthly Obligations</t>
  </si>
  <si>
    <t>Net monthly Surplus</t>
  </si>
  <si>
    <t>Cumulative surplus</t>
  </si>
  <si>
    <t>CREDIT ASSESSMENT MEMO: BUYER-SUPPLIER</t>
  </si>
  <si>
    <t>Top 10 Buyers (Credit Sources)</t>
  </si>
  <si>
    <t>Source</t>
  </si>
  <si>
    <t>Total Amount</t>
  </si>
  <si>
    <t>Median Amount</t>
  </si>
  <si>
    <t>Max Amount</t>
  </si>
  <si>
    <t>No. of Transactions</t>
  </si>
  <si>
    <t>GST Amount</t>
  </si>
  <si>
    <t>meenakshi k</t>
  </si>
  <si>
    <t>tus ker pam private limited</t>
  </si>
  <si>
    <t>ankit kumar</t>
  </si>
  <si>
    <t>tusker ac bangalore</t>
  </si>
  <si>
    <t>pinelabs pvt l</t>
  </si>
  <si>
    <t>rakesh m</t>
  </si>
  <si>
    <t>g kondalarao</t>
  </si>
  <si>
    <t>mr alok s potadar</t>
  </si>
  <si>
    <t>richmond</t>
  </si>
  <si>
    <t>Top 10 Suppliers (Debit Sources)</t>
  </si>
  <si>
    <t>techcapitalfirstlimi</t>
  </si>
  <si>
    <t>sr icici</t>
  </si>
  <si>
    <t>tus ker enterprises private limited</t>
  </si>
  <si>
    <t>hero spares parshawa blore</t>
  </si>
  <si>
    <t>k r kumar reddy</t>
  </si>
  <si>
    <t>lathesh kumar m n</t>
  </si>
  <si>
    <t>parshawa motos pvt</t>
  </si>
  <si>
    <t>tmpl rbl od ca</t>
  </si>
  <si>
    <t>goa ha rley spares</t>
  </si>
  <si>
    <t>CREDIT ASSESSMENT MEMO — FINANCIAL PARAMETER MATRIX</t>
  </si>
  <si>
    <t>#</t>
  </si>
  <si>
    <t>Category</t>
  </si>
  <si>
    <t>ITR</t>
  </si>
  <si>
    <t>GST (estimated)</t>
  </si>
  <si>
    <t>Financial Statement</t>
  </si>
  <si>
    <t>Bank Statement (estimated)</t>
  </si>
  <si>
    <t>MCA</t>
  </si>
  <si>
    <t>Credit Bureau</t>
  </si>
  <si>
    <t xml:space="preserve">  1. REVENUE &amp; INCOME</t>
  </si>
  <si>
    <t>Revenue from Operations</t>
  </si>
  <si>
    <t>Total sales / service income — primary triangulation point across all sources</t>
  </si>
  <si>
    <t>₹15,00,00,000</t>
  </si>
  <si>
    <t>₹16,00,00,000</t>
  </si>
  <si>
    <t>₹15,50,00,000</t>
  </si>
  <si>
    <t>₹9,00,00,000</t>
  </si>
  <si>
    <t>N.A</t>
  </si>
  <si>
    <t>Export Revenue</t>
  </si>
  <si>
    <t>Foreign currency income from overseas customers and zero-rated GST supplies</t>
  </si>
  <si>
    <t>Other Income</t>
  </si>
  <si>
    <t>Non-operating income: interest, rent, write-backs, dividends</t>
  </si>
  <si>
    <t>₹95,00,000</t>
  </si>
  <si>
    <t>Revenue Concentration</t>
  </si>
  <si>
    <t>Share of revenue from top 5 customers as % of total revenue</t>
  </si>
  <si>
    <t xml:space="preserve">₹50,00,000
</t>
  </si>
  <si>
    <t>₹7,20,00,000</t>
  </si>
  <si>
    <t xml:space="preserve">₹9,61,85,481
</t>
  </si>
  <si>
    <t xml:space="preserve">₹2,46,00,000
</t>
  </si>
  <si>
    <t xml:space="preserve">  2. COST OF OPERATIONS</t>
  </si>
  <si>
    <t>Employee / Salary Expenses</t>
  </si>
  <si>
    <t>Total compensation: salaries, PF, gratuity — verified against BSA payroll debits</t>
  </si>
  <si>
    <t>₹1,20,00,000</t>
  </si>
  <si>
    <t>₹2,45,21,359</t>
  </si>
  <si>
    <t xml:space="preserve">₹0
</t>
  </si>
  <si>
    <t xml:space="preserve">₹2,45,21,359
</t>
  </si>
  <si>
    <t>Raw Material / Purchase Cost</t>
  </si>
  <si>
    <t>Cost of goods: purchases + stock movement — cross-checked against GST ITC</t>
  </si>
  <si>
    <t xml:space="preserve">
₹94,128</t>
  </si>
  <si>
    <t>₹3,17,54,749</t>
  </si>
  <si>
    <t>Power &amp; Fuel</t>
  </si>
  <si>
    <t>Electricity / energy costs — proxy for manufacturing existence at declared scale</t>
  </si>
  <si>
    <t>₹60,00,000</t>
  </si>
  <si>
    <t xml:space="preserve">₹40,000
</t>
  </si>
  <si>
    <t xml:space="preserve">₹60,00,000
</t>
  </si>
  <si>
    <t>Rent / Lease Expenses</t>
  </si>
  <si>
    <t>Office, factory, warehouse rental outflows — TDS 194-I deduction check</t>
  </si>
  <si>
    <t xml:space="preserve">  3. BALANCE SHEET — ASSETS</t>
  </si>
  <si>
    <t>Raw material, WIP, finished goods — rising inventory without revenue signals fictitious stock</t>
  </si>
  <si>
    <t>Liquid position at period end — must match BSA closing balance</t>
  </si>
  <si>
    <t>₹1,11,022</t>
  </si>
  <si>
    <t xml:space="preserve"> ₹4,43,794
</t>
  </si>
  <si>
    <t>Loans &amp; Advances Given</t>
  </si>
  <si>
    <t>Amounts extended to group, directors, related parties — fund diversion signal</t>
  </si>
  <si>
    <t xml:space="preserve">₹2,50,00,000
</t>
  </si>
  <si>
    <t xml:space="preserve"> ₹0
</t>
  </si>
  <si>
    <t xml:space="preserve">  4. BALANCE SHEET — LIABILITIES</t>
  </si>
  <si>
    <t>Total Borrowings</t>
  </si>
  <si>
    <t>All funded debt — undisclosed borrowings appear as unmatched EMI outflows in BSA</t>
  </si>
  <si>
    <t xml:space="preserve">₹6,10,00,000
</t>
  </si>
  <si>
    <t xml:space="preserve">₹39,23,000
</t>
  </si>
  <si>
    <t xml:space="preserve">₹8,50,00,000
</t>
  </si>
  <si>
    <t>Trade Payables</t>
  </si>
  <si>
    <t>Creditors outstanding — MSME overdue and creditor days trend</t>
  </si>
  <si>
    <t xml:space="preserve">₹94,128
</t>
  </si>
  <si>
    <t xml:space="preserve">₹22,00,000
</t>
  </si>
  <si>
    <t>Related Party Balances</t>
  </si>
  <si>
    <t>Amounts due to/from connected entities — most under-disclosed item across all sources</t>
  </si>
  <si>
    <t xml:space="preserve">  5. CASH FLOW &amp; SERVICEABILITY</t>
  </si>
  <si>
    <t>Operating Cash Flow</t>
  </si>
  <si>
    <t>Net cash from operations before capex/financing — sustained negative OCF = distress</t>
  </si>
  <si>
    <t xml:space="preserve">₹55,00,000 
</t>
  </si>
  <si>
    <t xml:space="preserve">₹20,68,000
</t>
  </si>
  <si>
    <t>Working Capital Utilisation</t>
  </si>
  <si>
    <t>CC/OD limit usage pattern — exclusively a BSA metric; consistently at ceiling = stress</t>
  </si>
  <si>
    <t xml:space="preserve"> ₹4,43,794
</t>
  </si>
  <si>
    <t xml:space="preserve">  6. TAX &amp; COMPLIANCE</t>
  </si>
  <si>
    <t xml:space="preserve">GST Payable </t>
  </si>
  <si>
    <t>Monthly GST cash outflow vs declared liability — DRAFT return or missing challan = default</t>
  </si>
  <si>
    <t xml:space="preserve">₹16,00,00,000
</t>
  </si>
  <si>
    <t>PF / ESI Contributions</t>
  </si>
  <si>
    <t>EPFO/ESIC challan payments — single most reliable proxy for real headcount</t>
  </si>
  <si>
    <t xml:space="preserve">  7. AUDIT &amp; GOVERNANCE</t>
  </si>
  <si>
    <t>Related Party Transactions</t>
  </si>
  <si>
    <t>Cross-source consistency of RP dealings — ITR/GST declare ₹50L; BSA reveals ₹2.50 Cr</t>
  </si>
  <si>
    <t>Director / Promoter Drawings</t>
  </si>
  <si>
    <t>Remuneration, dividends, personal expenses routed through company — extraction signal</t>
  </si>
  <si>
    <t xml:space="preserve">₹80,00,000
</t>
  </si>
  <si>
    <t>CREDIT ASSESSMENT MEMO: RISK SIGNALS</t>
  </si>
  <si>
    <t>Summary</t>
  </si>
  <si>
    <t>Total Risk Factors checked</t>
  </si>
  <si>
    <t>Flagged Risks</t>
  </si>
  <si>
    <t>Risk Grade</t>
  </si>
  <si>
    <t>Segment Specific (Risk Group wise coverage)</t>
  </si>
  <si>
    <t>Risk Flags triggered  |  % of flags triggered</t>
  </si>
  <si>
    <t>Integrity</t>
  </si>
  <si>
    <t>Compliance</t>
  </si>
  <si>
    <t>Credit Behaviour</t>
  </si>
  <si>
    <t>Business Risk</t>
  </si>
  <si>
    <t>Trigger Details</t>
  </si>
  <si>
    <t>Triggers</t>
  </si>
  <si>
    <t>Identified</t>
  </si>
  <si>
    <t>Type of Check</t>
  </si>
  <si>
    <t>Criminal cases - Primary Firm</t>
  </si>
  <si>
    <t>Any ongoing severe cases against primary firm</t>
  </si>
  <si>
    <t>IDfy Services+Criminal Records</t>
  </si>
  <si>
    <t>Criminal cases - Subsidiary</t>
  </si>
  <si>
    <t>Any ongoing severe cases against majority owned subsidiary</t>
  </si>
  <si>
    <t>Criminal cases - Promoters/Directors</t>
  </si>
  <si>
    <t>Any ongoing severe cases against promoters or current directors</t>
  </si>
  <si>
    <t>Criminal cases - Network</t>
  </si>
  <si>
    <t>Any ongoing severe cases against one of the immediate network companies</t>
  </si>
  <si>
    <t>Director Exits</t>
  </si>
  <si>
    <t>More than 30% director churn in last 12 months</t>
  </si>
  <si>
    <t>MCA fillings</t>
  </si>
  <si>
    <t>Suspected Shell Company</t>
  </si>
  <si>
    <t>Evaluate if company itself is a shell company, evaluating from negative list as well as data available on company across dataset</t>
  </si>
  <si>
    <t>IDfy Services</t>
  </si>
  <si>
    <t>Suspected Shell network</t>
  </si>
  <si>
    <t>If through promoters there is ownership of 2 or more shell companies</t>
  </si>
  <si>
    <t>Frequent Auditor changes</t>
  </si>
  <si>
    <t>2 or more auditors changed in last reported 12 months</t>
  </si>
  <si>
    <t>Auditor fillings</t>
  </si>
  <si>
    <t>Any auditor observations in last fillings</t>
  </si>
  <si>
    <t>Blacklists/Sanctions</t>
  </si>
  <si>
    <t>Company in any government released blacklists/sanction lists</t>
  </si>
  <si>
    <t>Web-presence authenticity</t>
  </si>
  <si>
    <t>Website presence non-compliant with stated merchant category code</t>
  </si>
  <si>
    <t>Adverse Media</t>
  </si>
  <si>
    <t>Any negative mentions about the company or promoters in across digital publications</t>
  </si>
  <si>
    <t>Document Tampering</t>
  </si>
  <si>
    <t>Suspected authenticity of documents submitted (Bank statement, ITR, GST)</t>
  </si>
  <si>
    <t>GST Compliance</t>
  </si>
  <si>
    <t>Any missed fillings of GST detected in past 12 months</t>
  </si>
  <si>
    <t>GST</t>
  </si>
  <si>
    <t>E-invoice non-compliance</t>
  </si>
  <si>
    <t>Compliant with e-invoice mandate if applicable</t>
  </si>
  <si>
    <t>EPFO non-compliance</t>
  </si>
  <si>
    <t>Any missed fillings detected in past 3 months</t>
  </si>
  <si>
    <t>EPFO</t>
  </si>
  <si>
    <t>Labour changes</t>
  </si>
  <si>
    <t>Labour count changes more than 30% in past 3 months</t>
  </si>
  <si>
    <t>Irregular emi transactions</t>
  </si>
  <si>
    <t>Detects EMI payments that don't occur on the same date each month.</t>
  </si>
  <si>
    <t>BSA</t>
  </si>
  <si>
    <t>Emi bounce</t>
  </si>
  <si>
    <t>Flags bounce transactions related to EMI obligations</t>
  </si>
  <si>
    <t>inward cheque bounce</t>
  </si>
  <si>
    <t>Detects inward cheque bounces in the statement.</t>
  </si>
  <si>
    <t>outward cheque bounce</t>
  </si>
  <si>
    <t>Detects outward cheque bounces in the statement</t>
  </si>
  <si>
    <t>suspicious cash transactions</t>
  </si>
  <si>
    <t>Flags cases where multiple credit transactions on the same day collectively exceed ₹50000</t>
  </si>
  <si>
    <t>suspicious digital transactions</t>
  </si>
  <si>
    <t>Suspicious digital transaction activity (out of limit transactions)</t>
  </si>
  <si>
    <t>Bank statement inconsistencies</t>
  </si>
  <si>
    <t>Checks for inconsistencies in account balance after every transaction.</t>
  </si>
  <si>
    <t>irregular interest credit transactions</t>
  </si>
  <si>
    <t>Flags interest credit transactions that appear irregular.</t>
  </si>
  <si>
    <t>Account conduct</t>
  </si>
  <si>
    <t>Suspected capital rotation</t>
  </si>
  <si>
    <t>Detects if same counterparty is present on both credit &amp; debit side</t>
  </si>
  <si>
    <t>negative balance detected</t>
  </si>
  <si>
    <t>Indicates if negative balance was detected throughout the statement period</t>
  </si>
  <si>
    <t>GST non-active status</t>
  </si>
  <si>
    <t>Flags businesses with a non-active gst status, indicating potential risk</t>
  </si>
  <si>
    <t>BSA+GST Triangulation</t>
  </si>
  <si>
    <t>GST under cancellation/suspension</t>
  </si>
  <si>
    <t>Identifies businesses undergoing cancellation, suspension, or flagged for compliance issues.</t>
  </si>
  <si>
    <t>Turnover mismatch</t>
  </si>
  <si>
    <t>Flags instances where the total turnover derived from bank statements does not align with the estimated turnover reported in gst.</t>
  </si>
  <si>
    <t>GST low vintage</t>
  </si>
  <si>
    <t>flags businesses that have been registered for less than one year, indicating a newly established entity</t>
  </si>
  <si>
    <t>Legal name mismatch</t>
  </si>
  <si>
    <t>Mismatch between GST legal name and account holder name.</t>
  </si>
  <si>
    <t>Address mismatch alert</t>
  </si>
  <si>
    <t>Identifies discrepancies between gst-registered business names and bank account names, signaling potential fraud</t>
  </si>
  <si>
    <t>Data Risk</t>
  </si>
  <si>
    <t>Insider transaction alert</t>
  </si>
  <si>
    <t>Flags transactions where fund transfers involve the business promoters, suggesting fund diversion or undisclosed related-party transactions</t>
  </si>
  <si>
    <t>Vendor overlap alert</t>
  </si>
  <si>
    <t>Flags if your top supplier entities are also your buyers, suggests circular payments to inflate sales</t>
  </si>
  <si>
    <t>GST-ITC Risk</t>
  </si>
  <si>
    <t>Input tax credit from vendor which are not filling GST on time or have suspended GST</t>
  </si>
  <si>
    <t>Related party procurement</t>
  </si>
  <si>
    <t>Related party transaction observed in bank statement but not declared in ITR schedule.</t>
  </si>
  <si>
    <t>ITR+BSA Triangulation</t>
  </si>
  <si>
    <t>Industry mismatch</t>
  </si>
  <si>
    <t>Purchases from vendor which typically is not expected from companies line of business</t>
  </si>
  <si>
    <t>Stock Clearing</t>
  </si>
  <si>
    <t>Manufacturing entity selling without procuring. Either pre-stocked or fictitious invoicing for continuous period of 3 months</t>
  </si>
  <si>
    <t>Sales Reversal</t>
  </si>
  <si>
    <t>More than 5% in value of invoice reversing notes generated in period</t>
  </si>
  <si>
    <t>DSCR below benchmark</t>
  </si>
  <si>
    <t>BSA Triangulation</t>
  </si>
  <si>
    <t>Revenue Reconcilliation</t>
  </si>
  <si>
    <t>Revenue (declared or estimated) in 1 or more documents deviating by more than 20%</t>
  </si>
  <si>
    <t>Tax Profile Mismatch</t>
  </si>
  <si>
    <t>Cash transaction in accounts higher than what is allowed for presumptive taxation claims</t>
  </si>
  <si>
    <t>Payroll expense gaps</t>
  </si>
  <si>
    <t>No neft/rtgs salary credits to employees found in banking while there are declared head counts; risk of running with temporary staff</t>
  </si>
  <si>
    <t>Informal borrowings</t>
  </si>
  <si>
    <t>EMI like outflows detected towards non-financial institutions for 2 or more months; risk of undeclared liabilities</t>
  </si>
  <si>
    <t>Undisclosed related party transactions</t>
  </si>
  <si>
    <t>Deviation between related party transactions declared in ITR vs detected in bank statement</t>
  </si>
  <si>
    <t>Missing auditor fee</t>
  </si>
  <si>
    <t>No payment towards declared auditors detected in bank statement</t>
  </si>
  <si>
    <t>Utility Expense missing</t>
  </si>
  <si>
    <t>Utility expenses (electricity/fuel) missing in banking transaction or significanlty lower than declared in ITR (50% or more)</t>
  </si>
  <si>
    <t>Promoter cash takeout</t>
  </si>
  <si>
    <t>Promoter(s) is taking out more than 35% or higher of profit as own salary</t>
  </si>
  <si>
    <t>Income quality</t>
  </si>
  <si>
    <t>50% of higher income coming from non-core (other income) or one time sources</t>
  </si>
  <si>
    <t>High Debt</t>
  </si>
  <si>
    <t>Debt represents 50% or higher of total assets indicating thin collateral coverage</t>
  </si>
  <si>
    <t>MCA Fillings</t>
  </si>
  <si>
    <t>Legal attachment</t>
  </si>
  <si>
    <t>Asset worth 5 lac or more attached towards legal proceedings</t>
  </si>
  <si>
    <t>Non-compliant Director(s)</t>
  </si>
  <si>
    <t>Check if director(s) DIN is active and compliant. no disqualification under section 164 of the companies act, 2013. director is legally traceable.</t>
  </si>
  <si>
    <t>working capital Risk</t>
  </si>
  <si>
    <t>quick ratio below 0.5 - company may face challenges in facing current obligations from liquid assets alone.</t>
  </si>
  <si>
    <t>Sub-par Margin from benchmark</t>
  </si>
  <si>
    <t>company's margin profile as measured by EBITDA margin is 5% or more lower than benchmark for the industry</t>
  </si>
  <si>
    <t>Subpar Revenue growth</t>
  </si>
  <si>
    <t>Revenue growth of company lower than 5% or more than benchmark for the industry</t>
  </si>
  <si>
    <t>Subpar ROE</t>
  </si>
  <si>
    <t>ROE for the company is 10% or more lower than industry benchmark</t>
  </si>
  <si>
    <t>Adverse Macro-factors</t>
  </si>
  <si>
    <t>Macro commentary on industry is negative</t>
  </si>
  <si>
    <t>CREDIT ASSESSMENT MEMO: MACRO-ECONOMIC FACTORS</t>
  </si>
  <si>
    <t>Macro-Economic Factor</t>
  </si>
  <si>
    <t>Metric / Trend (2024-2026)</t>
  </si>
  <si>
    <t>Relevance to Automobile Dealership</t>
  </si>
  <si>
    <t>Impact on Tusker Motorcycles</t>
  </si>
  <si>
    <t>GDP Growth (India)</t>
  </si>
  <si>
    <t>6.8% - 7.2% Forecast</t>
  </si>
  <si>
    <t>Drives overall consumer spending and discretionary income</t>
  </si>
  <si>
    <t>High - Correlated with motorcycle sales growth; Overall Positive</t>
  </si>
  <si>
    <t>Interest Rates (Repo)</t>
  </si>
  <si>
    <t>6.5% (Stable)</t>
  </si>
  <si>
    <t>Impacts cost of vehicle financing (Retail) and working capital (Dealer)</t>
  </si>
  <si>
    <t>Medium - Stable rates support affordable EMIs for buyers</t>
  </si>
  <si>
    <t>Fuel Prices (Petrol)</t>
  </si>
  <si>
    <t>Stable (~₹95-105/L)</t>
  </si>
  <si>
    <t>Directly impacts cost of ownership for ICE vehicles</t>
  </si>
  <si>
    <t>Medium - Stable prices maintain ICE demand; high prices push EV adoption; Slightly adverse for ICE retailers</t>
  </si>
  <si>
    <t>Rural Economy</t>
  </si>
  <si>
    <t>Improving (Good Monsoon)</t>
  </si>
  <si>
    <t>Critical for entry-level and mid-segment motorcycle demand</t>
  </si>
  <si>
    <t>High - Karnataka's rural demand is a key sales driver; Overall Positive</t>
  </si>
  <si>
    <t>GST Policy</t>
  </si>
  <si>
    <t>GST 2.0 / Rate Rationalization</t>
  </si>
  <si>
    <t>Potential for lower GST on 2-wheelers (28% to 18%)</t>
  </si>
  <si>
    <t>Positive - Would significantly boost affordability and volumes</t>
  </si>
  <si>
    <t>EV Subsidies (FAME)</t>
  </si>
  <si>
    <t>FAME III / State Subsidies</t>
  </si>
  <si>
    <t>Incentivizes transition to electric two-wheelers</t>
  </si>
  <si>
    <t>Strategic - Opportunity to diversify into EV models</t>
  </si>
  <si>
    <t>Inflation (CPI)</t>
  </si>
  <si>
    <t>4.5% - 5.0% (Controlled)</t>
  </si>
  <si>
    <t>Impacts purchasing power and operational costs</t>
  </si>
  <si>
    <t>Low - Controlled inflation supports steady demand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</si>
</sst>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0.000"/>
    <numFmt numFmtId="166" formatCode="mmmm-yyyy"/>
  </numFmts>
  <fonts count="37">
    <font>
      <sz val="10.0"/>
      <color rgb="FF000000"/>
      <name val="Arial"/>
      <scheme val="minor"/>
    </font>
    <font>
      <b/>
      <sz val="14.0"/>
      <color rgb="FFFFFFFF"/>
      <name val="Calibri"/>
    </font>
    <font/>
    <font>
      <sz val="8.0"/>
      <color rgb="FF0000FF"/>
      <name val="Arial"/>
      <scheme val="minor"/>
    </font>
    <font>
      <color theme="1"/>
      <name val="Arial"/>
      <scheme val="minor"/>
    </font>
    <font>
      <b/>
      <color theme="1"/>
      <name val="Arial"/>
      <scheme val="minor"/>
    </font>
    <font>
      <sz val="22.0"/>
      <color theme="1"/>
      <name val="Arial"/>
      <scheme val="minor"/>
    </font>
    <font>
      <i/>
      <sz val="8.0"/>
      <color theme="1"/>
      <name val="Arial"/>
      <scheme val="minor"/>
    </font>
    <font>
      <b/>
      <sz val="11.0"/>
      <color rgb="FF000000"/>
      <name val="Calibri"/>
    </font>
    <font>
      <sz val="11.0"/>
      <color rgb="FF000000"/>
      <name val="Calibri"/>
    </font>
    <font>
      <b/>
      <sz val="11.0"/>
      <color rgb="FFFFFFFF"/>
      <name val="Calibri"/>
    </font>
    <font>
      <b/>
      <sz val="11.0"/>
      <color theme="1"/>
      <name val="Calibri"/>
    </font>
    <font>
      <i/>
      <sz val="11.0"/>
      <color rgb="FF434343"/>
      <name val="Calibri"/>
    </font>
    <font>
      <sz val="11.0"/>
      <color theme="1"/>
      <name val="Calibri"/>
    </font>
    <font>
      <color theme="1"/>
      <name val="Arial"/>
    </font>
    <font>
      <i/>
      <sz val="7.0"/>
      <color rgb="FF0000FF"/>
      <name val="Arial"/>
    </font>
    <font>
      <sz val="8.0"/>
      <color theme="1"/>
      <name val="Century Gothic"/>
    </font>
    <font>
      <b/>
      <sz val="8.0"/>
      <color theme="1"/>
      <name val="Century Gothic"/>
    </font>
    <font>
      <color rgb="FFFFFFFF"/>
      <name val="Arial"/>
    </font>
    <font>
      <sz val="8.0"/>
      <color rgb="FFFFFFFF"/>
      <name val="Century Gothic"/>
    </font>
    <font>
      <b/>
      <sz val="9.0"/>
      <color rgb="FFFFFFFF"/>
      <name val="Century Gothic"/>
    </font>
    <font>
      <color theme="1"/>
      <name val="Century Gothic"/>
    </font>
    <font>
      <b/>
      <sz val="11.0"/>
      <color rgb="FF322FF7"/>
      <name val="Calibri"/>
    </font>
    <font>
      <b/>
      <color rgb="FFFFFFFF"/>
      <name val="Arial"/>
    </font>
    <font>
      <b/>
      <color rgb="FFFFFFFF"/>
      <name val="Calibri"/>
    </font>
    <font>
      <b/>
      <color theme="1"/>
      <name val="Calibri"/>
    </font>
    <font>
      <b/>
      <color theme="0"/>
      <name val="Calibri"/>
    </font>
    <font>
      <color rgb="FFFFFFFF"/>
      <name val="Calibri"/>
    </font>
    <font>
      <b/>
      <sz val="13.0"/>
      <color rgb="FFFFFFFF"/>
      <name val="Calibri"/>
    </font>
    <font>
      <sz val="9.0"/>
      <color theme="1"/>
      <name val="Calibri"/>
    </font>
    <font>
      <color rgb="FFFFFFFF"/>
      <name val="Arial"/>
      <scheme val="minor"/>
    </font>
    <font>
      <b/>
      <color rgb="FF0000FF"/>
      <name val="Arial"/>
      <scheme val="minor"/>
    </font>
    <font>
      <b/>
      <i/>
      <color theme="1"/>
      <name val="Arial"/>
      <scheme val="minor"/>
    </font>
    <font>
      <sz val="11.0"/>
      <color rgb="FFFFFFFF"/>
      <name val="Calibri"/>
    </font>
    <font>
      <sz val="10.0"/>
      <color theme="1"/>
      <name val="Calibri"/>
    </font>
    <font>
      <sz val="8.0"/>
      <color theme="1"/>
      <name val="Calibri"/>
    </font>
    <font>
      <color theme="1"/>
      <name val="Calibri"/>
    </font>
  </fonts>
  <fills count="11">
    <fill>
      <patternFill patternType="none"/>
    </fill>
    <fill>
      <patternFill patternType="lightGray"/>
    </fill>
    <fill>
      <patternFill patternType="solid">
        <fgColor rgb="FF203764"/>
        <bgColor rgb="FF203764"/>
      </patternFill>
    </fill>
    <fill>
      <patternFill patternType="solid">
        <fgColor rgb="FFF3F3F3"/>
        <bgColor rgb="FFF3F3F3"/>
      </patternFill>
    </fill>
    <fill>
      <patternFill patternType="solid">
        <fgColor rgb="FF003366"/>
        <bgColor rgb="FF003366"/>
      </patternFill>
    </fill>
    <fill>
      <patternFill patternType="solid">
        <fgColor rgb="FFBFBFBF"/>
        <bgColor rgb="FFBFBFBF"/>
      </patternFill>
    </fill>
    <fill>
      <patternFill patternType="solid">
        <fgColor rgb="FFFFFFFF"/>
        <bgColor rgb="FFFFFFFF"/>
      </patternFill>
    </fill>
    <fill>
      <patternFill patternType="solid">
        <fgColor rgb="FF1A3A5C"/>
        <bgColor rgb="FF1A3A5C"/>
      </patternFill>
    </fill>
    <fill>
      <patternFill patternType="solid">
        <fgColor rgb="FF93C47D"/>
        <bgColor rgb="FF93C47D"/>
      </patternFill>
    </fill>
    <fill>
      <patternFill patternType="solid">
        <fgColor rgb="FFCFE2F3"/>
        <bgColor rgb="FFCFE2F3"/>
      </patternFill>
    </fill>
    <fill>
      <patternFill patternType="solid">
        <fgColor rgb="FFF4CCCC"/>
        <bgColor rgb="FFF4CCCC"/>
      </patternFill>
    </fill>
  </fills>
  <borders count="29">
    <border/>
    <border>
      <left/>
      <top/>
      <bottom/>
    </border>
    <border>
      <top/>
      <bottom/>
    </border>
    <border>
      <right/>
      <top/>
      <bottom/>
    </border>
    <border>
      <left style="thin">
        <color rgb="FFB7B7B7"/>
      </left>
      <right style="thin">
        <color rgb="FFB7B7B7"/>
      </right>
      <top style="thin">
        <color rgb="FFB7B7B7"/>
      </top>
      <bottom style="thin">
        <color rgb="FFB7B7B7"/>
      </bottom>
    </border>
    <border>
      <bottom style="thin">
        <color rgb="FF000000"/>
      </bottom>
    </border>
    <border>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C3C7C5"/>
      </right>
      <bottom style="thin">
        <color rgb="FFC3C7C5"/>
      </bottom>
    </border>
    <border>
      <left style="thin">
        <color rgb="FFC3C7C5"/>
      </left>
      <right style="thin">
        <color rgb="FFC3C7C5"/>
      </right>
      <bottom style="thin">
        <color rgb="FFC3C7C5"/>
      </bottom>
    </border>
    <border>
      <left style="thin">
        <color rgb="FFC3C7C5"/>
      </left>
      <right style="thin">
        <color rgb="FF000000"/>
      </right>
      <bottom style="thin">
        <color rgb="FFC3C7C5"/>
      </bottom>
    </border>
    <border>
      <left style="thin">
        <color rgb="FF000000"/>
      </left>
    </border>
    <border>
      <right style="thin">
        <color rgb="FF000000"/>
      </right>
    </border>
    <border>
      <left style="thin">
        <color rgb="FFC3C7C5"/>
      </left>
      <right style="thin">
        <color rgb="FFC3C7C5"/>
      </right>
      <top style="thin">
        <color rgb="FFC3C7C5"/>
      </top>
      <bottom style="thin">
        <color rgb="FFC3C7C5"/>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C3C7C5"/>
      </left>
      <right style="thin">
        <color rgb="FFC3C7C5"/>
      </right>
      <top style="thin">
        <color rgb="FFC3C7C5"/>
      </top>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right" readingOrder="0" shrinkToFit="0" wrapText="1"/>
    </xf>
    <xf borderId="0" fillId="0" fontId="4" numFmtId="0" xfId="0" applyAlignment="1" applyFont="1">
      <alignment shrinkToFit="0" wrapText="1"/>
    </xf>
    <xf borderId="4" fillId="0" fontId="5" numFmtId="0" xfId="0" applyAlignment="1" applyBorder="1" applyFont="1">
      <alignment readingOrder="0" vertical="center"/>
    </xf>
    <xf borderId="4" fillId="0" fontId="4" numFmtId="0" xfId="0" applyAlignment="1" applyBorder="1" applyFont="1">
      <alignment readingOrder="0" shrinkToFit="0" vertical="center" wrapText="1"/>
    </xf>
    <xf borderId="0" fillId="3" fontId="4" numFmtId="0" xfId="0" applyFill="1" applyFont="1"/>
    <xf borderId="0" fillId="3" fontId="6" numFmtId="0" xfId="0" applyAlignment="1" applyFont="1">
      <alignment horizontal="center" readingOrder="0" vertical="center"/>
    </xf>
    <xf borderId="0" fillId="3" fontId="7" numFmtId="0" xfId="0" applyAlignment="1" applyFont="1">
      <alignment horizontal="center" readingOrder="0" vertical="center"/>
    </xf>
    <xf borderId="0" fillId="2" fontId="1" numFmtId="0" xfId="0" applyAlignment="1" applyFont="1">
      <alignment horizontal="center" vertical="bottom"/>
    </xf>
    <xf borderId="1" fillId="2" fontId="1" numFmtId="0" xfId="0" applyAlignment="1" applyBorder="1" applyFont="1">
      <alignment horizontal="center" vertical="bottom"/>
    </xf>
    <xf borderId="0" fillId="0" fontId="8" numFmtId="0" xfId="0" applyAlignment="1" applyFont="1">
      <alignment horizontal="right"/>
    </xf>
    <xf borderId="5" fillId="0" fontId="8" numFmtId="0" xfId="0" applyAlignment="1" applyBorder="1" applyFont="1">
      <alignment horizontal="right"/>
    </xf>
    <xf borderId="5" fillId="0" fontId="8" numFmtId="0" xfId="0" applyAlignment="1" applyBorder="1" applyFont="1">
      <alignment horizontal="left"/>
    </xf>
    <xf borderId="6" fillId="0" fontId="8" numFmtId="0" xfId="0" applyAlignment="1" applyBorder="1" applyFont="1">
      <alignment horizontal="right"/>
    </xf>
    <xf borderId="6" fillId="0" fontId="9" numFmtId="0" xfId="0" applyAlignment="1" applyBorder="1" applyFont="1">
      <alignment shrinkToFit="0" wrapText="0"/>
    </xf>
    <xf borderId="0" fillId="0" fontId="8" numFmtId="0" xfId="0" applyAlignment="1" applyFont="1">
      <alignment horizontal="right" readingOrder="0"/>
    </xf>
    <xf borderId="7" fillId="2" fontId="10" numFmtId="0" xfId="0" applyAlignment="1" applyBorder="1" applyFont="1">
      <alignment horizontal="center"/>
    </xf>
    <xf borderId="7" fillId="2" fontId="10" numFmtId="0" xfId="0" applyAlignment="1" applyBorder="1" applyFont="1">
      <alignment horizontal="center" shrinkToFit="0" wrapText="1"/>
    </xf>
    <xf borderId="0" fillId="0" fontId="11" numFmtId="0" xfId="0" applyAlignment="1" applyFont="1">
      <alignment horizontal="center"/>
    </xf>
    <xf borderId="0" fillId="0" fontId="12" numFmtId="0" xfId="0" applyAlignment="1" applyFont="1">
      <alignment shrinkToFit="0" wrapText="1"/>
    </xf>
    <xf borderId="8" fillId="2" fontId="10" numFmtId="0" xfId="0" applyAlignment="1" applyBorder="1" applyFont="1">
      <alignment horizontal="center"/>
    </xf>
    <xf borderId="9" fillId="0" fontId="2" numFmtId="0" xfId="0" applyBorder="1" applyFont="1"/>
    <xf borderId="10" fillId="0" fontId="2" numFmtId="0" xfId="0" applyBorder="1" applyFont="1"/>
    <xf borderId="11" fillId="0" fontId="13" numFmtId="0" xfId="0" applyBorder="1" applyFont="1"/>
    <xf borderId="8" fillId="0" fontId="13" numFmtId="0" xfId="0" applyBorder="1" applyFont="1"/>
    <xf borderId="0" fillId="0" fontId="13" numFmtId="0" xfId="0" applyAlignment="1" applyFont="1">
      <alignment vertical="bottom"/>
    </xf>
    <xf borderId="11" fillId="0" fontId="11" numFmtId="0" xfId="0" applyAlignment="1" applyBorder="1" applyFont="1">
      <alignment horizontal="center" vertical="bottom"/>
    </xf>
    <xf borderId="11" fillId="0" fontId="13" numFmtId="0" xfId="0" applyAlignment="1" applyBorder="1" applyFont="1">
      <alignment horizontal="center" vertical="bottom"/>
    </xf>
    <xf borderId="8" fillId="2" fontId="10" numFmtId="0" xfId="0" applyAlignment="1" applyBorder="1" applyFont="1">
      <alignment horizontal="center" readingOrder="0"/>
    </xf>
    <xf borderId="11" fillId="0" fontId="11" numFmtId="0" xfId="0" applyAlignment="1" applyBorder="1" applyFont="1">
      <alignment vertical="bottom"/>
    </xf>
    <xf borderId="8" fillId="0" fontId="11" numFmtId="0" xfId="0" applyAlignment="1" applyBorder="1" applyFont="1">
      <alignment vertical="bottom"/>
    </xf>
    <xf borderId="11" fillId="0" fontId="13" numFmtId="0" xfId="0" applyAlignment="1" applyBorder="1" applyFont="1">
      <alignment vertical="bottom"/>
    </xf>
    <xf borderId="8" fillId="0" fontId="13" numFmtId="0" xfId="0" applyAlignment="1" applyBorder="1" applyFont="1">
      <alignment shrinkToFit="0" vertical="bottom" wrapText="1"/>
    </xf>
    <xf borderId="11" fillId="0" fontId="13" numFmtId="0" xfId="0" applyAlignment="1" applyBorder="1" applyFont="1">
      <alignment horizontal="right" vertical="bottom"/>
    </xf>
    <xf borderId="0" fillId="0" fontId="14" numFmtId="0" xfId="0" applyFont="1"/>
    <xf borderId="0" fillId="0" fontId="15" numFmtId="0" xfId="0" applyAlignment="1" applyFont="1">
      <alignment readingOrder="0"/>
    </xf>
    <xf borderId="11" fillId="0" fontId="16" numFmtId="1" xfId="0" applyAlignment="1" applyBorder="1" applyFont="1" applyNumberFormat="1">
      <alignment readingOrder="0" shrinkToFit="0" wrapText="1"/>
    </xf>
    <xf borderId="8" fillId="0" fontId="17" numFmtId="1" xfId="0" applyAlignment="1" applyBorder="1" applyFont="1" applyNumberFormat="1">
      <alignment readingOrder="0" shrinkToFit="0" wrapText="1"/>
    </xf>
    <xf borderId="9" fillId="0" fontId="17" numFmtId="1" xfId="0" applyAlignment="1" applyBorder="1" applyFont="1" applyNumberFormat="1">
      <alignment shrinkToFit="0" wrapText="1"/>
    </xf>
    <xf borderId="10" fillId="0" fontId="17" numFmtId="1" xfId="0" applyAlignment="1" applyBorder="1" applyFont="1" applyNumberFormat="1">
      <alignment shrinkToFit="0" wrapText="1"/>
    </xf>
    <xf borderId="0" fillId="0" fontId="16" numFmtId="0" xfId="0" applyAlignment="1" applyFont="1">
      <alignment readingOrder="0"/>
    </xf>
    <xf borderId="11" fillId="0" fontId="14" numFmtId="1" xfId="0" applyBorder="1" applyFont="1" applyNumberFormat="1"/>
    <xf borderId="11" fillId="0" fontId="17" numFmtId="1" xfId="0" applyAlignment="1" applyBorder="1" applyFont="1" applyNumberFormat="1">
      <alignment horizontal="center" readingOrder="0"/>
    </xf>
    <xf borderId="11" fillId="4" fontId="18" numFmtId="164" xfId="0" applyAlignment="1" applyBorder="1" applyFill="1" applyFont="1" applyNumberFormat="1">
      <alignment horizontal="center" readingOrder="0" shrinkToFit="0" vertical="bottom" wrapText="1"/>
    </xf>
    <xf borderId="11" fillId="4" fontId="19" numFmtId="1" xfId="0" applyAlignment="1" applyBorder="1" applyFont="1" applyNumberFormat="1">
      <alignment horizontal="center" readingOrder="0"/>
    </xf>
    <xf borderId="11" fillId="4" fontId="19" numFmtId="0" xfId="0" applyAlignment="1" applyBorder="1" applyFont="1">
      <alignment horizontal="center" readingOrder="0"/>
    </xf>
    <xf borderId="11" fillId="5" fontId="17" numFmtId="1" xfId="0" applyAlignment="1" applyBorder="1" applyFill="1" applyFont="1" applyNumberFormat="1">
      <alignment readingOrder="0"/>
    </xf>
    <xf borderId="11" fillId="5" fontId="14" numFmtId="0" xfId="0" applyBorder="1" applyFont="1"/>
    <xf borderId="11" fillId="0" fontId="16" numFmtId="0" xfId="0" applyAlignment="1" applyBorder="1" applyFont="1">
      <alignment readingOrder="0" shrinkToFit="0" wrapText="1"/>
    </xf>
    <xf borderId="11" fillId="0" fontId="16" numFmtId="2" xfId="0" applyAlignment="1" applyBorder="1" applyFont="1" applyNumberFormat="1">
      <alignment horizontal="right" readingOrder="0"/>
    </xf>
    <xf borderId="11" fillId="0" fontId="16" numFmtId="0" xfId="0" applyAlignment="1" applyBorder="1" applyFont="1">
      <alignment readingOrder="0"/>
    </xf>
    <xf borderId="11" fillId="0" fontId="14" numFmtId="2" xfId="0" applyBorder="1" applyFont="1" applyNumberFormat="1"/>
    <xf borderId="11" fillId="0" fontId="17" numFmtId="0" xfId="0" applyAlignment="1" applyBorder="1" applyFont="1">
      <alignment readingOrder="0" shrinkToFit="0" wrapText="1"/>
    </xf>
    <xf borderId="12" fillId="5" fontId="17" numFmtId="165" xfId="0" applyAlignment="1" applyBorder="1" applyFont="1" applyNumberFormat="1">
      <alignment readingOrder="0"/>
    </xf>
    <xf borderId="13" fillId="5" fontId="14" numFmtId="0" xfId="0" applyBorder="1" applyFont="1"/>
    <xf borderId="11" fillId="0" fontId="17" numFmtId="0" xfId="0" applyAlignment="1" applyBorder="1" applyFont="1">
      <alignment readingOrder="0"/>
    </xf>
    <xf borderId="11" fillId="0" fontId="14" numFmtId="0" xfId="0" applyBorder="1" applyFont="1"/>
    <xf borderId="0" fillId="2" fontId="1" numFmtId="0" xfId="0" applyAlignment="1" applyFont="1">
      <alignment horizontal="center" readingOrder="0" vertical="bottom"/>
    </xf>
    <xf borderId="14" fillId="4" fontId="20" numFmtId="0" xfId="0" applyAlignment="1" applyBorder="1" applyFont="1">
      <alignment horizontal="center" readingOrder="0" shrinkToFit="0" wrapText="1"/>
    </xf>
    <xf borderId="15" fillId="4" fontId="20" numFmtId="1" xfId="0" applyAlignment="1" applyBorder="1" applyFont="1" applyNumberFormat="1">
      <alignment horizontal="center" readingOrder="0" shrinkToFit="0" wrapText="1"/>
    </xf>
    <xf borderId="16" fillId="4" fontId="20" numFmtId="0" xfId="0" applyAlignment="1" applyBorder="1" applyFont="1">
      <alignment horizontal="center" shrinkToFit="0" wrapText="1"/>
    </xf>
    <xf borderId="11" fillId="4" fontId="20" numFmtId="49" xfId="0" applyAlignment="1" applyBorder="1" applyFont="1" applyNumberFormat="1">
      <alignment horizontal="center" readingOrder="0"/>
    </xf>
    <xf borderId="11" fillId="0" fontId="21" numFmtId="0" xfId="0" applyAlignment="1" applyBorder="1" applyFont="1">
      <alignment readingOrder="0" shrinkToFit="0" wrapText="1"/>
    </xf>
    <xf borderId="11" fillId="0" fontId="21" numFmtId="2" xfId="0" applyAlignment="1" applyBorder="1" applyFont="1" applyNumberFormat="1">
      <alignment horizontal="right" readingOrder="0" vertical="bottom"/>
    </xf>
    <xf borderId="0" fillId="0" fontId="21" numFmtId="0" xfId="0" applyAlignment="1" applyFont="1">
      <alignment readingOrder="0" shrinkToFit="0" wrapText="1"/>
    </xf>
    <xf borderId="11" fillId="0" fontId="21" numFmtId="0" xfId="0" applyAlignment="1" applyBorder="1" applyFont="1">
      <alignment shrinkToFit="0" vertical="bottom" wrapText="1"/>
    </xf>
    <xf borderId="11" fillId="0" fontId="4" numFmtId="10" xfId="0" applyAlignment="1" applyBorder="1" applyFont="1" applyNumberFormat="1">
      <alignment readingOrder="0"/>
    </xf>
    <xf borderId="11" fillId="0" fontId="4" numFmtId="0" xfId="0" applyAlignment="1" applyBorder="1" applyFont="1">
      <alignment readingOrder="0"/>
    </xf>
    <xf borderId="0" fillId="0" fontId="4" numFmtId="0" xfId="0" applyAlignment="1" applyFont="1">
      <alignment readingOrder="0"/>
    </xf>
    <xf borderId="0" fillId="0" fontId="21" numFmtId="0" xfId="0" applyAlignment="1" applyFont="1">
      <alignment shrinkToFit="0" vertical="bottom" wrapText="1"/>
    </xf>
    <xf borderId="15" fillId="2" fontId="20" numFmtId="1" xfId="0" applyAlignment="1" applyBorder="1" applyFont="1" applyNumberFormat="1">
      <alignment horizontal="center" readingOrder="0" shrinkToFit="0" wrapText="1"/>
    </xf>
    <xf borderId="0" fillId="0" fontId="11" numFmtId="0" xfId="0" applyAlignment="1" applyFont="1">
      <alignment readingOrder="0" vertical="bottom"/>
    </xf>
    <xf borderId="0" fillId="0" fontId="11" numFmtId="0" xfId="0" applyAlignment="1" applyFont="1">
      <alignment vertical="bottom"/>
    </xf>
    <xf borderId="11" fillId="4" fontId="10" numFmtId="0" xfId="0" applyAlignment="1" applyBorder="1" applyFont="1">
      <alignment vertical="bottom"/>
    </xf>
    <xf borderId="11" fillId="2" fontId="10" numFmtId="0" xfId="0" applyAlignment="1" applyBorder="1" applyFont="1">
      <alignment horizontal="center"/>
    </xf>
    <xf borderId="11" fillId="2" fontId="10" numFmtId="0" xfId="0" applyAlignment="1" applyBorder="1" applyFont="1">
      <alignment horizontal="center" shrinkToFit="0" wrapText="1"/>
    </xf>
    <xf borderId="11" fillId="0" fontId="13" numFmtId="0" xfId="0" applyAlignment="1" applyBorder="1" applyFont="1">
      <alignment shrinkToFit="0" wrapText="1"/>
    </xf>
    <xf borderId="0" fillId="4" fontId="10" numFmtId="0" xfId="0" applyAlignment="1" applyFont="1">
      <alignment vertical="bottom"/>
    </xf>
    <xf borderId="0" fillId="0" fontId="13" numFmtId="0" xfId="0" applyAlignment="1" applyFont="1">
      <alignment horizontal="right" vertical="bottom"/>
    </xf>
    <xf borderId="0" fillId="0" fontId="22" numFmtId="0" xfId="0" applyAlignment="1" applyFont="1">
      <alignment vertical="bottom"/>
    </xf>
    <xf borderId="0" fillId="0" fontId="22" numFmtId="0" xfId="0" applyAlignment="1" applyFont="1">
      <alignment readingOrder="0" vertical="bottom"/>
    </xf>
    <xf borderId="0" fillId="0" fontId="13" numFmtId="0" xfId="0" applyFont="1"/>
    <xf borderId="1" fillId="2" fontId="1" numFmtId="0" xfId="0" applyAlignment="1" applyBorder="1" applyFont="1">
      <alignment horizontal="center" vertical="bottom"/>
    </xf>
    <xf borderId="0" fillId="0" fontId="14" numFmtId="0" xfId="0" applyAlignment="1" applyFont="1">
      <alignment vertical="bottom"/>
    </xf>
    <xf borderId="0" fillId="4" fontId="23" numFmtId="0" xfId="0" applyAlignment="1" applyFont="1">
      <alignment readingOrder="0" vertical="bottom"/>
    </xf>
    <xf borderId="0" fillId="4" fontId="18" numFmtId="0" xfId="0" applyAlignment="1" applyFont="1">
      <alignment vertical="bottom"/>
    </xf>
    <xf borderId="11" fillId="4" fontId="24" numFmtId="0" xfId="0" applyAlignment="1" applyBorder="1" applyFont="1">
      <alignment horizontal="center" readingOrder="0" vertical="bottom"/>
    </xf>
    <xf borderId="11" fillId="0" fontId="14" numFmtId="4" xfId="0" applyAlignment="1" applyBorder="1" applyFont="1" applyNumberFormat="1">
      <alignment horizontal="center" readingOrder="0" vertical="bottom"/>
    </xf>
    <xf borderId="11" fillId="0" fontId="14" numFmtId="0" xfId="0" applyAlignment="1" applyBorder="1" applyFont="1">
      <alignment horizontal="center" readingOrder="0" vertical="bottom"/>
    </xf>
    <xf borderId="0" fillId="0" fontId="25" numFmtId="0" xfId="0" applyAlignment="1" applyFont="1">
      <alignment readingOrder="0" vertical="bottom"/>
    </xf>
    <xf borderId="0" fillId="0" fontId="14" numFmtId="0" xfId="0" applyAlignment="1" applyFont="1">
      <alignment horizontal="right" readingOrder="0" vertical="bottom"/>
    </xf>
    <xf borderId="0" fillId="0" fontId="14" numFmtId="3" xfId="0" applyAlignment="1" applyFont="1" applyNumberFormat="1">
      <alignment horizontal="right" readingOrder="0" vertical="bottom"/>
    </xf>
    <xf borderId="0" fillId="0" fontId="25" numFmtId="0" xfId="0" applyAlignment="1" applyFont="1">
      <alignment horizontal="right" readingOrder="0" vertical="bottom"/>
    </xf>
    <xf borderId="8" fillId="4" fontId="26" numFmtId="0" xfId="0" applyAlignment="1" applyBorder="1" applyFont="1">
      <alignment horizontal="center" readingOrder="0" vertical="bottom"/>
    </xf>
    <xf borderId="11" fillId="4" fontId="26" numFmtId="0" xfId="0" applyAlignment="1" applyBorder="1" applyFont="1">
      <alignment horizontal="center" readingOrder="0" vertical="bottom"/>
    </xf>
    <xf borderId="17" fillId="2" fontId="27" numFmtId="0" xfId="0" applyAlignment="1" applyBorder="1" applyFont="1">
      <alignment readingOrder="0"/>
    </xf>
    <xf borderId="18" fillId="2" fontId="27" numFmtId="0" xfId="0" applyAlignment="1" applyBorder="1" applyFont="1">
      <alignment readingOrder="0"/>
    </xf>
    <xf borderId="19" fillId="2" fontId="27" numFmtId="0" xfId="0" applyAlignment="1" applyBorder="1" applyFont="1">
      <alignment readingOrder="0"/>
    </xf>
    <xf borderId="0" fillId="0" fontId="14" numFmtId="166" xfId="0" applyAlignment="1" applyFont="1" applyNumberFormat="1">
      <alignment readingOrder="0" vertical="bottom"/>
    </xf>
    <xf borderId="20" fillId="0" fontId="14" numFmtId="0" xfId="0" applyAlignment="1" applyBorder="1" applyFont="1">
      <alignment horizontal="right" readingOrder="0" vertical="bottom"/>
    </xf>
    <xf borderId="21" fillId="0" fontId="14" numFmtId="0" xfId="0" applyAlignment="1" applyBorder="1" applyFont="1">
      <alignment horizontal="right" readingOrder="0" vertical="bottom"/>
    </xf>
    <xf borderId="0" fillId="0" fontId="14" numFmtId="0" xfId="0" applyAlignment="1" applyFont="1">
      <alignment readingOrder="0" vertical="bottom"/>
    </xf>
    <xf borderId="20" fillId="0" fontId="13" numFmtId="2" xfId="0" applyAlignment="1" applyBorder="1" applyFont="1" applyNumberFormat="1">
      <alignment horizontal="right" readingOrder="0" vertical="bottom"/>
    </xf>
    <xf borderId="0" fillId="0" fontId="13" numFmtId="2" xfId="0" applyAlignment="1" applyFont="1" applyNumberFormat="1">
      <alignment horizontal="right" readingOrder="0" vertical="bottom"/>
    </xf>
    <xf borderId="21" fillId="0" fontId="13" numFmtId="2" xfId="0" applyAlignment="1" applyBorder="1" applyFont="1" applyNumberFormat="1">
      <alignment horizontal="right" readingOrder="0" vertical="bottom"/>
    </xf>
    <xf borderId="0" fillId="4" fontId="23" numFmtId="0" xfId="0" applyAlignment="1" applyFont="1">
      <alignment vertical="bottom"/>
    </xf>
    <xf borderId="17" fillId="4" fontId="27" numFmtId="0" xfId="0" applyAlignment="1" applyBorder="1" applyFont="1">
      <alignment readingOrder="0"/>
    </xf>
    <xf borderId="0" fillId="0" fontId="14" numFmtId="0" xfId="0" applyAlignment="1" applyFont="1">
      <alignment horizontal="center" readingOrder="0" vertical="bottom"/>
    </xf>
    <xf borderId="11" fillId="0" fontId="14" numFmtId="3" xfId="0" applyAlignment="1" applyBorder="1" applyFont="1" applyNumberFormat="1">
      <alignment horizontal="center" readingOrder="0" vertical="bottom"/>
    </xf>
    <xf borderId="11" fillId="6" fontId="14" numFmtId="3" xfId="0" applyAlignment="1" applyBorder="1" applyFill="1" applyFont="1" applyNumberFormat="1">
      <alignment horizontal="center" readingOrder="0" vertical="bottom"/>
    </xf>
    <xf borderId="0" fillId="0" fontId="14" numFmtId="4" xfId="0" applyAlignment="1" applyFont="1" applyNumberFormat="1">
      <alignment horizontal="center" readingOrder="0" vertical="bottom"/>
    </xf>
    <xf borderId="0" fillId="0" fontId="25" numFmtId="0" xfId="0" applyAlignment="1" applyFont="1">
      <alignment vertical="bottom"/>
    </xf>
    <xf borderId="22" fillId="4" fontId="27" numFmtId="0" xfId="0" applyAlignment="1" applyBorder="1" applyFont="1">
      <alignment horizontal="center"/>
    </xf>
    <xf borderId="0" fillId="0" fontId="13" numFmtId="0" xfId="0" applyAlignment="1" applyFont="1">
      <alignment horizontal="center" shrinkToFit="0" vertical="bottom" wrapText="1"/>
    </xf>
    <xf borderId="0" fillId="0" fontId="14" numFmtId="3" xfId="0" applyAlignment="1" applyFont="1" applyNumberFormat="1">
      <alignment horizontal="center" vertical="bottom"/>
    </xf>
    <xf borderId="0" fillId="0" fontId="14" numFmtId="0" xfId="0" applyAlignment="1" applyFont="1">
      <alignment horizontal="center" vertical="bottom"/>
    </xf>
    <xf borderId="0" fillId="0" fontId="14" numFmtId="3" xfId="0" applyAlignment="1" applyFont="1" applyNumberFormat="1">
      <alignment horizontal="center" readingOrder="0" vertical="bottom"/>
    </xf>
    <xf borderId="22" fillId="4" fontId="27" numFmtId="0" xfId="0" applyBorder="1" applyFont="1"/>
    <xf borderId="0" fillId="0" fontId="13" numFmtId="0" xfId="0" applyAlignment="1" applyFont="1">
      <alignment shrinkToFit="0" vertical="bottom" wrapText="1"/>
    </xf>
    <xf borderId="0" fillId="0" fontId="28" numFmtId="0" xfId="0" applyAlignment="1" applyFont="1">
      <alignment horizontal="center" shrinkToFit="0" vertical="center" wrapText="1"/>
    </xf>
    <xf borderId="23" fillId="7" fontId="28" numFmtId="0" xfId="0" applyAlignment="1" applyBorder="1" applyFill="1" applyFont="1">
      <alignment horizontal="center" shrinkToFit="0" vertical="center" wrapText="1"/>
    </xf>
    <xf borderId="24" fillId="0" fontId="2" numFmtId="0" xfId="0" applyBorder="1" applyFont="1"/>
    <xf borderId="25" fillId="0" fontId="2" numFmtId="0" xfId="0" applyBorder="1" applyFont="1"/>
    <xf borderId="0" fillId="0" fontId="14" numFmtId="0" xfId="0" applyAlignment="1" applyFont="1">
      <alignment vertical="center"/>
    </xf>
    <xf borderId="0" fillId="0" fontId="14" numFmtId="0" xfId="0" applyAlignment="1" applyFont="1">
      <alignment vertical="center"/>
    </xf>
    <xf borderId="23" fillId="0" fontId="14" numFmtId="0" xfId="0" applyAlignment="1" applyBorder="1" applyFont="1">
      <alignment vertical="center"/>
    </xf>
    <xf borderId="0" fillId="0" fontId="24" numFmtId="0" xfId="0" applyAlignment="1" applyFont="1">
      <alignment shrinkToFit="0" vertical="center" wrapText="1"/>
    </xf>
    <xf borderId="26" fillId="7" fontId="24" numFmtId="0" xfId="0" applyAlignment="1" applyBorder="1" applyFont="1">
      <alignment shrinkToFit="0" vertical="center" wrapText="1"/>
    </xf>
    <xf borderId="26" fillId="7" fontId="24" numFmtId="0" xfId="0" applyAlignment="1" applyBorder="1" applyFont="1">
      <alignment readingOrder="0" shrinkToFit="0" vertical="center" wrapText="1"/>
    </xf>
    <xf borderId="23" fillId="7" fontId="24" numFmtId="0" xfId="0" applyAlignment="1" applyBorder="1" applyFont="1">
      <alignment shrinkToFit="0" vertical="center" wrapText="1"/>
    </xf>
    <xf borderId="0" fillId="0" fontId="25" numFmtId="0" xfId="0" applyAlignment="1" applyFont="1">
      <alignment horizontal="center" vertical="center"/>
    </xf>
    <xf borderId="26" fillId="0" fontId="25" numFmtId="0" xfId="0" applyAlignment="1" applyBorder="1" applyFont="1">
      <alignment horizontal="center" vertical="center"/>
    </xf>
    <xf borderId="26" fillId="0" fontId="25" numFmtId="3" xfId="0" applyAlignment="1" applyBorder="1" applyFont="1" applyNumberFormat="1">
      <alignment horizontal="left" shrinkToFit="0" vertical="center" wrapText="1"/>
    </xf>
    <xf borderId="26" fillId="0" fontId="29" numFmtId="3" xfId="0" applyAlignment="1" applyBorder="1" applyFont="1" applyNumberFormat="1">
      <alignment horizontal="left" shrinkToFit="0" vertical="center" wrapText="1"/>
    </xf>
    <xf borderId="26" fillId="0" fontId="29" numFmtId="0" xfId="0" applyAlignment="1" applyBorder="1" applyFont="1">
      <alignment horizontal="left" shrinkToFit="0" vertical="center" wrapText="1"/>
    </xf>
    <xf borderId="0" fillId="0" fontId="14" numFmtId="0" xfId="0" applyAlignment="1" applyFont="1">
      <alignment horizontal="left" vertical="center"/>
    </xf>
    <xf borderId="26" fillId="0" fontId="25" numFmtId="0" xfId="0" applyAlignment="1" applyBorder="1" applyFont="1">
      <alignment horizontal="left" shrinkToFit="0" vertical="center" wrapText="1"/>
    </xf>
    <xf borderId="26" fillId="0" fontId="29" numFmtId="0" xfId="0" applyAlignment="1" applyBorder="1" applyFont="1">
      <alignment horizontal="left" shrinkToFit="0" vertical="center" wrapText="1"/>
    </xf>
    <xf borderId="26" fillId="0" fontId="25" numFmtId="0" xfId="0" applyAlignment="1" applyBorder="1" applyFont="1">
      <alignment shrinkToFit="0" vertical="center" wrapText="1"/>
    </xf>
    <xf borderId="26" fillId="0" fontId="29" numFmtId="0" xfId="0" applyAlignment="1" applyBorder="1" applyFont="1">
      <alignment shrinkToFit="0" vertical="center" wrapText="1"/>
    </xf>
    <xf borderId="26" fillId="0" fontId="25" numFmtId="0" xfId="0" applyAlignment="1" applyBorder="1" applyFont="1">
      <alignment shrinkToFit="0" vertical="center" wrapText="1"/>
    </xf>
    <xf borderId="26" fillId="0" fontId="29" numFmtId="0" xfId="0" applyAlignment="1" applyBorder="1" applyFont="1">
      <alignment shrinkToFit="0" vertical="center" wrapText="1"/>
    </xf>
    <xf borderId="26" fillId="0" fontId="25" numFmtId="3" xfId="0" applyAlignment="1" applyBorder="1" applyFont="1" applyNumberFormat="1">
      <alignment shrinkToFit="0" vertical="center" wrapText="1"/>
    </xf>
    <xf borderId="26" fillId="0" fontId="29" numFmtId="3" xfId="0" applyAlignment="1" applyBorder="1" applyFont="1" applyNumberFormat="1">
      <alignment shrinkToFit="0" vertical="center" wrapText="1"/>
    </xf>
    <xf borderId="0" fillId="0" fontId="11" numFmtId="0" xfId="0" applyAlignment="1" applyFont="1">
      <alignment horizontal="center" readingOrder="0" vertical="center"/>
    </xf>
    <xf borderId="26" fillId="0" fontId="11" numFmtId="0" xfId="0" applyAlignment="1" applyBorder="1" applyFont="1">
      <alignment horizontal="center" readingOrder="0" vertical="center"/>
    </xf>
    <xf borderId="0" fillId="0" fontId="24" numFmtId="0" xfId="0" applyAlignment="1" applyFont="1">
      <alignment shrinkToFit="0" vertical="center" wrapText="1"/>
    </xf>
    <xf borderId="23" fillId="7" fontId="24" numFmtId="0" xfId="0" applyAlignment="1" applyBorder="1" applyFont="1">
      <alignment shrinkToFit="0" vertical="center" wrapText="1"/>
    </xf>
    <xf borderId="0" fillId="0" fontId="4" numFmtId="0" xfId="0" applyAlignment="1" applyFont="1">
      <alignment vertical="center"/>
    </xf>
    <xf borderId="0" fillId="2" fontId="30" numFmtId="0" xfId="0" applyAlignment="1" applyFont="1">
      <alignment readingOrder="0"/>
    </xf>
    <xf borderId="0" fillId="0" fontId="4" numFmtId="0" xfId="0" applyAlignment="1" applyFont="1">
      <alignment horizontal="left"/>
    </xf>
    <xf borderId="0" fillId="0" fontId="4" numFmtId="10" xfId="0" applyAlignment="1" applyFont="1" applyNumberFormat="1">
      <alignment horizontal="left"/>
    </xf>
    <xf borderId="0" fillId="0" fontId="31" numFmtId="0" xfId="0" applyAlignment="1" applyFont="1">
      <alignment horizontal="left" readingOrder="0"/>
    </xf>
    <xf borderId="0" fillId="0" fontId="32" numFmtId="0" xfId="0" applyAlignment="1" applyFont="1">
      <alignment readingOrder="0"/>
    </xf>
    <xf borderId="27" fillId="4" fontId="33" numFmtId="0" xfId="0" applyAlignment="1" applyBorder="1" applyFont="1">
      <alignment shrinkToFit="0" wrapText="1"/>
    </xf>
    <xf borderId="27" fillId="4" fontId="33" numFmtId="0" xfId="0" applyAlignment="1" applyBorder="1" applyFont="1">
      <alignment readingOrder="0" shrinkToFit="0" wrapText="1"/>
    </xf>
    <xf borderId="28" fillId="0" fontId="34" numFmtId="0" xfId="0" applyAlignment="1" applyBorder="1" applyFont="1">
      <alignment readingOrder="0" shrinkToFit="0" wrapText="1"/>
    </xf>
    <xf borderId="28" fillId="0" fontId="34" numFmtId="0" xfId="0" applyAlignment="1" applyBorder="1" applyFont="1">
      <alignment readingOrder="0"/>
    </xf>
    <xf borderId="28" fillId="0" fontId="35" numFmtId="0" xfId="0" applyAlignment="1" applyBorder="1" applyFont="1">
      <alignment readingOrder="0"/>
    </xf>
    <xf borderId="28" fillId="0" fontId="34" numFmtId="0" xfId="0" applyAlignment="1" applyBorder="1" applyFont="1">
      <alignment shrinkToFit="0" wrapText="1"/>
    </xf>
    <xf borderId="28" fillId="0" fontId="36" numFmtId="0" xfId="0" applyAlignment="1" applyBorder="1" applyFont="1">
      <alignment horizontal="right" shrinkToFit="0" vertical="bottom" wrapText="1"/>
    </xf>
    <xf borderId="11" fillId="8" fontId="13" numFmtId="0" xfId="0" applyAlignment="1" applyBorder="1" applyFill="1" applyFont="1">
      <alignment readingOrder="0" shrinkToFit="0" wrapText="1"/>
    </xf>
    <xf borderId="11" fillId="9" fontId="13" numFmtId="0" xfId="0" applyAlignment="1" applyBorder="1" applyFill="1" applyFont="1">
      <alignment shrinkToFit="0" wrapText="1"/>
    </xf>
    <xf borderId="11" fillId="10" fontId="13"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f052745f-a9be-4c98-a955-278f8ad78c91}">
    <Anchor>
      <Comment id="{0ca50f41-1ab3-41a4-b9aa-91b4483239c0}"/>
    </Anchor>
    <History>
      <Event time="2026-03-17T07:14:20.00" id="{7eb06af1-ad21-4199-a42e-e958946c330e}">
        <Attribution userId="placeholder@email.com" userName="Vivek Singh" userProvider="google-sheets"/>
        <Anchor>
          <Comment id="{0ca50f41-1ab3-41a4-b9aa-91b4483239c0}"/>
        </Anchor>
        <Create/>
      </Event>
      <Event time="2026-03-17T07:14:20.00" id="{f3ef2b9d-f465-4dea-9e36-a331d5a06f7f}">
        <Attribution userId="placeholder@email.com" userName="Vivek Singh" userProvider="google-sheets"/>
        <Anchor>
          <Comment id="{0ca50f41-1ab3-41a4-b9aa-91b4483239c0}"/>
        </Anchor>
        <Assign userId="abhijit.joshi@idfy.com" userName="abhijit.joshi@idfy.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bhijit Joshi" id="{ff03079e-5052-4929-a8c2-d538c3a6cb81}" providerId="google-sheets"/>
  <x18tc:person displayName="Vivek Singh" id="{ae2994c9-0083-424b-972c-b33f191a6d55}" providerId="google-sheets"/>
  <x18tc:person displayName="abhijit.joshi@idfy.com" id="{9441da90-6238-4f00-911a-f069ef862d9e}" userId="abhijit.joshi@idfy.com" providerId="google-sheets"/>
  <x18tc:person displayName="prakarsh.paritosh@idfy.com" id="{3d2e85a2-342f-4d9e-bf7a-f0b6b315d0d7}" userId="prakarsh.paritosh@idf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5" dT="2026-03-17T14:12:45.00" personId="{ff03079e-5052-4929-a8c2-d538c3a6cb81}" id="{b938e0ff-70c8-48b8-b991-9fd83f626a16}" done="1">
    <x18tc:text xml:space="preserve">can do suspected shell company itself as well</x18tc:text>
  </x18tc:threadedComment>
  <x18tc:threadedComment ref="C23" dT="2026-03-17T14:13:11.00" personId="{ff03079e-5052-4929-a8c2-d538c3a6cb81}" id="{7a5b37b2-d3b5-4272-89e4-28af4c2f6d7b}" done="1">
    <x18tc:text xml:space="preserve">Exists or exits?</x18tc:text>
  </x18tc:threadedComment>
  <x18tc:threadedComment ref="C3" dT="2026-03-17T07:14:20.00" personId="{ae2994c9-0083-424b-972c-b33f191a6d55}" id="{0ca50f41-1ab3-41a4-b9aa-91b4483239c0}" done="1">
    <x18tc:text xml:space="preserve">@abhijit.joshi@idfy.com see if I have missed any high value risk trigger, if so please add
Assigned to abhijit.joshi@idfy.com</x18tc:text>
    <x18tc:mentions>
      <x18tc:mention mentionpersonId="{9441da90-6238-4f00-911a-f069ef862d9e}" mentionId="{8a7cde0f-e61b-4b79-9cde-febbb9d0cbb4}" startIndex="0" length="23"/>
    </x18tc:mentions>
  </x18tc:threadedComment>
  <x18tc:threadedComment ref="C3" dT="2026-03-17T11:10:16.00" personId="{ae2994c9-0083-424b-972c-b33f191a6d55}" id="{8d4dd377-e16f-4d8f-893e-94e40a65b509}" parentId="{0ca50f41-1ab3-41a4-b9aa-91b4483239c0}">
    <x18tc:text xml:space="preserve">@prakarsh.paritosh@idfy.com Please add more signals</x18tc:text>
    <x18tc:mentions>
      <x18tc:mention mentionpersonId="{3d2e85a2-342f-4d9e-bf7a-f0b6b315d0d7}" mentionId="{d6a92255-1bb5-4b61-aaff-eb3325b9b3a2}" startIndex="0" length="2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7.xml"/><Relationship Id="rId5"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
    <col customWidth="1" min="2" max="2" width="26.0"/>
    <col customWidth="1" min="3" max="3" width="109.75"/>
  </cols>
  <sheetData>
    <row r="1">
      <c r="A1" s="1" t="s">
        <v>0</v>
      </c>
      <c r="B1" s="2"/>
      <c r="C1" s="3"/>
    </row>
    <row r="2" ht="18.75" customHeight="1">
      <c r="C2" s="4" t="s">
        <v>1</v>
      </c>
    </row>
    <row r="3" ht="1.5" customHeight="1">
      <c r="C3" s="5"/>
    </row>
    <row r="4">
      <c r="B4" s="6" t="s">
        <v>2</v>
      </c>
      <c r="C4" s="7" t="s">
        <v>3</v>
      </c>
    </row>
    <row r="5">
      <c r="C5" s="5"/>
    </row>
    <row r="6">
      <c r="B6" s="6" t="s">
        <v>4</v>
      </c>
      <c r="C6" s="7" t="s">
        <v>5</v>
      </c>
    </row>
    <row r="7">
      <c r="C7" s="5"/>
    </row>
    <row r="8">
      <c r="B8" s="6" t="s">
        <v>6</v>
      </c>
      <c r="C8" s="7" t="s">
        <v>7</v>
      </c>
    </row>
    <row r="9">
      <c r="C9" s="5"/>
    </row>
    <row r="10">
      <c r="B10" s="6" t="s">
        <v>8</v>
      </c>
      <c r="C10" s="7" t="s">
        <v>9</v>
      </c>
    </row>
    <row r="11">
      <c r="C11" s="5"/>
    </row>
    <row r="12">
      <c r="B12" s="6" t="s">
        <v>10</v>
      </c>
      <c r="C12" s="7" t="s">
        <v>11</v>
      </c>
    </row>
    <row r="13">
      <c r="C13" s="5"/>
    </row>
    <row r="14">
      <c r="B14" s="6" t="s">
        <v>12</v>
      </c>
      <c r="C14" s="7" t="s">
        <v>13</v>
      </c>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showGridLines="0" workbookViewId="0"/>
  </sheetViews>
  <sheetFormatPr customHeight="1" defaultColWidth="12.63" defaultRowHeight="15.75"/>
  <cols>
    <col hidden="1" min="6" max="26" width="12.63"/>
  </cols>
  <sheetData>
    <row r="1">
      <c r="A1" s="8"/>
      <c r="B1" s="8"/>
      <c r="C1" s="8"/>
      <c r="D1" s="8"/>
      <c r="E1" s="8"/>
    </row>
    <row r="2">
      <c r="A2" s="8"/>
      <c r="B2" s="8"/>
      <c r="C2" s="8"/>
      <c r="D2" s="8"/>
      <c r="E2" s="8"/>
    </row>
    <row r="3">
      <c r="A3" s="8"/>
      <c r="B3" s="8"/>
      <c r="C3" s="8"/>
      <c r="D3" s="8"/>
      <c r="E3" s="8"/>
    </row>
    <row r="4">
      <c r="A4" s="8"/>
      <c r="B4" s="8"/>
      <c r="C4" s="8"/>
      <c r="D4" s="8"/>
      <c r="E4" s="8"/>
    </row>
    <row r="5">
      <c r="A5" s="8"/>
      <c r="B5" s="8"/>
      <c r="C5" s="8"/>
      <c r="D5" s="8"/>
      <c r="E5" s="8"/>
    </row>
    <row r="6">
      <c r="A6" s="8"/>
      <c r="B6" s="8"/>
      <c r="C6" s="8"/>
      <c r="D6" s="8"/>
      <c r="E6" s="8"/>
    </row>
    <row r="7">
      <c r="A7" s="8"/>
      <c r="B7" s="9" t="s">
        <v>14</v>
      </c>
      <c r="E7" s="8"/>
    </row>
    <row r="8">
      <c r="A8" s="8"/>
      <c r="E8" s="8"/>
    </row>
    <row r="9">
      <c r="A9" s="8"/>
      <c r="E9" s="8"/>
    </row>
    <row r="10">
      <c r="A10" s="8"/>
      <c r="E10" s="8"/>
    </row>
    <row r="11">
      <c r="A11" s="8"/>
      <c r="E11" s="8"/>
    </row>
    <row r="12">
      <c r="A12" s="10" t="s">
        <v>15</v>
      </c>
    </row>
    <row r="14">
      <c r="A14" s="8"/>
      <c r="B14" s="8"/>
      <c r="C14" s="8"/>
      <c r="D14" s="8"/>
      <c r="E14" s="8"/>
    </row>
    <row r="15">
      <c r="A15" s="8"/>
      <c r="B15" s="8"/>
      <c r="C15" s="8"/>
      <c r="D15" s="8"/>
      <c r="E15" s="8"/>
    </row>
    <row r="16">
      <c r="A16" s="8"/>
      <c r="B16" s="8"/>
      <c r="C16" s="8"/>
      <c r="D16" s="8"/>
      <c r="E16" s="8"/>
    </row>
    <row r="17">
      <c r="A17" s="8"/>
      <c r="B17" s="8"/>
      <c r="C17" s="8"/>
      <c r="D17" s="8"/>
      <c r="E17" s="8"/>
    </row>
    <row r="18">
      <c r="A18" s="8"/>
      <c r="B18" s="8"/>
      <c r="C18" s="8"/>
      <c r="D18" s="8"/>
      <c r="E18" s="8"/>
    </row>
    <row r="19">
      <c r="A19" s="8"/>
      <c r="B19" s="8"/>
      <c r="C19" s="8"/>
      <c r="D19" s="8"/>
      <c r="E19" s="8"/>
    </row>
    <row r="20">
      <c r="A20" s="8"/>
      <c r="B20" s="8"/>
      <c r="C20" s="8"/>
      <c r="D20" s="8"/>
      <c r="E20" s="8"/>
    </row>
    <row r="21">
      <c r="A21" s="8"/>
      <c r="B21" s="8"/>
      <c r="C21" s="8"/>
      <c r="D21" s="8"/>
      <c r="E21" s="8"/>
    </row>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
    <mergeCell ref="B7:D11"/>
    <mergeCell ref="A12:E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0.88"/>
    <col customWidth="1" min="3" max="3" width="1.0"/>
    <col customWidth="1" min="4" max="4" width="54.13"/>
    <col customWidth="1" min="5" max="5" width="2.63"/>
    <col hidden="1" min="6" max="28" width="12.63"/>
  </cols>
  <sheetData>
    <row r="1">
      <c r="A1" s="11"/>
      <c r="B1" s="12" t="s">
        <v>16</v>
      </c>
      <c r="C1" s="2"/>
      <c r="D1" s="3"/>
    </row>
    <row r="3">
      <c r="A3" s="13"/>
      <c r="B3" s="14" t="s">
        <v>17</v>
      </c>
      <c r="C3" s="15"/>
      <c r="D3" s="15" t="s">
        <v>18</v>
      </c>
    </row>
    <row r="4">
      <c r="A4" s="13"/>
      <c r="B4" s="16" t="s">
        <v>19</v>
      </c>
      <c r="C4" s="17"/>
      <c r="D4" s="17" t="s">
        <v>20</v>
      </c>
    </row>
    <row r="5">
      <c r="A5" s="13"/>
      <c r="B5" s="16" t="s">
        <v>21</v>
      </c>
      <c r="C5" s="17"/>
      <c r="D5" s="17" t="s">
        <v>22</v>
      </c>
    </row>
    <row r="6">
      <c r="A6" s="13"/>
      <c r="B6" s="16" t="s">
        <v>23</v>
      </c>
      <c r="C6" s="17"/>
      <c r="D6" s="17" t="s">
        <v>24</v>
      </c>
    </row>
    <row r="7">
      <c r="A7" s="13"/>
      <c r="B7" s="16" t="s">
        <v>25</v>
      </c>
      <c r="C7" s="17"/>
      <c r="D7" s="17" t="s">
        <v>26</v>
      </c>
    </row>
    <row r="8">
      <c r="A8" s="18"/>
      <c r="B8" s="16" t="s">
        <v>27</v>
      </c>
      <c r="C8" s="17"/>
      <c r="D8" s="17" t="s">
        <v>28</v>
      </c>
    </row>
    <row r="9">
      <c r="A9" s="13"/>
      <c r="B9" s="16" t="s">
        <v>29</v>
      </c>
      <c r="C9" s="17"/>
      <c r="D9" s="17" t="s">
        <v>30</v>
      </c>
    </row>
    <row r="10">
      <c r="A10" s="13"/>
      <c r="B10" s="16" t="s">
        <v>31</v>
      </c>
      <c r="C10" s="17"/>
      <c r="D10" s="17" t="s">
        <v>32</v>
      </c>
    </row>
    <row r="11">
      <c r="A11" s="13"/>
      <c r="B11" s="16" t="s">
        <v>33</v>
      </c>
      <c r="C11" s="17"/>
      <c r="D11" s="17" t="s">
        <v>34</v>
      </c>
    </row>
    <row r="12">
      <c r="A12" s="13"/>
      <c r="B12" s="16" t="s">
        <v>35</v>
      </c>
      <c r="C12" s="17"/>
      <c r="D12" s="17" t="s">
        <v>36</v>
      </c>
    </row>
    <row r="13">
      <c r="A13" s="13"/>
      <c r="B13" s="16" t="s">
        <v>37</v>
      </c>
      <c r="C13" s="17"/>
      <c r="D13" s="17" t="s">
        <v>38</v>
      </c>
    </row>
    <row r="14">
      <c r="A14" s="13"/>
      <c r="B14" s="16" t="s">
        <v>39</v>
      </c>
      <c r="C14" s="17"/>
      <c r="D14" s="17" t="s">
        <v>40</v>
      </c>
    </row>
    <row r="15">
      <c r="A15" s="13"/>
      <c r="B15" s="16" t="s">
        <v>41</v>
      </c>
      <c r="C15" s="17"/>
      <c r="D15" s="17" t="s">
        <v>42</v>
      </c>
    </row>
    <row r="16">
      <c r="A16" s="13"/>
      <c r="B16" s="16" t="s">
        <v>43</v>
      </c>
      <c r="C16" s="17"/>
      <c r="D16" s="17" t="s">
        <v>44</v>
      </c>
    </row>
    <row r="17">
      <c r="A17" s="13"/>
      <c r="B17" s="16" t="s">
        <v>45</v>
      </c>
      <c r="C17" s="17"/>
      <c r="D17" s="17" t="s">
        <v>46</v>
      </c>
    </row>
    <row r="18">
      <c r="A18" s="13"/>
      <c r="B18" s="16" t="s">
        <v>47</v>
      </c>
      <c r="C18" s="17"/>
      <c r="D18" s="17" t="s">
        <v>48</v>
      </c>
    </row>
    <row r="19">
      <c r="A19" s="13"/>
      <c r="B19" s="16" t="s">
        <v>49</v>
      </c>
      <c r="C19" s="17"/>
      <c r="D19" s="17" t="s">
        <v>50</v>
      </c>
    </row>
    <row r="20">
      <c r="A20" s="13"/>
      <c r="B20" s="16" t="s">
        <v>51</v>
      </c>
      <c r="C20" s="17"/>
      <c r="D20" s="17" t="s">
        <v>52</v>
      </c>
    </row>
    <row r="21">
      <c r="A21" s="13"/>
      <c r="B21" s="16" t="s">
        <v>53</v>
      </c>
      <c r="C21" s="17"/>
      <c r="D21" s="17" t="s">
        <v>54</v>
      </c>
    </row>
    <row r="22">
      <c r="A22" s="13"/>
      <c r="B22" s="16" t="s">
        <v>55</v>
      </c>
      <c r="C22" s="17"/>
      <c r="D22" s="17" t="s">
        <v>56</v>
      </c>
    </row>
  </sheetData>
  <mergeCells count="1">
    <mergeCell ref="B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25"/>
    <col customWidth="1" min="2" max="2" width="80.88"/>
  </cols>
  <sheetData>
    <row r="1">
      <c r="A1" s="12" t="s">
        <v>57</v>
      </c>
      <c r="B1" s="3"/>
    </row>
    <row r="2">
      <c r="A2" s="19" t="s">
        <v>58</v>
      </c>
      <c r="B2" s="20" t="s">
        <v>59</v>
      </c>
    </row>
    <row r="3">
      <c r="A3" s="21" t="s">
        <v>60</v>
      </c>
      <c r="B3" s="22" t="s">
        <v>61</v>
      </c>
    </row>
    <row r="4">
      <c r="A4" s="21" t="s">
        <v>62</v>
      </c>
      <c r="B4" s="22" t="s">
        <v>63</v>
      </c>
    </row>
    <row r="5" ht="4.5" customHeight="1">
      <c r="A5" s="21"/>
      <c r="B5" s="22"/>
    </row>
    <row r="6">
      <c r="A6" s="21" t="s">
        <v>64</v>
      </c>
      <c r="B6" s="22" t="s">
        <v>65</v>
      </c>
    </row>
    <row r="7">
      <c r="A7" s="21" t="s">
        <v>66</v>
      </c>
      <c r="B7" s="22" t="s">
        <v>67</v>
      </c>
    </row>
    <row r="8">
      <c r="A8" s="21" t="s">
        <v>68</v>
      </c>
      <c r="B8" s="22" t="s">
        <v>69</v>
      </c>
    </row>
    <row r="9">
      <c r="A9" s="21" t="s">
        <v>70</v>
      </c>
      <c r="B9" s="22" t="s">
        <v>71</v>
      </c>
    </row>
    <row r="10">
      <c r="A10" s="21" t="s">
        <v>72</v>
      </c>
      <c r="B10" s="22" t="s">
        <v>73</v>
      </c>
    </row>
    <row r="11" ht="3.0" customHeight="1">
      <c r="A11" s="21"/>
      <c r="B11" s="22"/>
    </row>
    <row r="12">
      <c r="A12" s="21" t="s">
        <v>74</v>
      </c>
      <c r="B12" s="22"/>
    </row>
    <row r="13">
      <c r="A13" s="21" t="s">
        <v>75</v>
      </c>
      <c r="B13" s="22" t="s">
        <v>76</v>
      </c>
    </row>
    <row r="14" ht="2.25" customHeight="1">
      <c r="A14" s="21"/>
      <c r="B14" s="22"/>
    </row>
    <row r="15">
      <c r="A15" s="21" t="s">
        <v>77</v>
      </c>
      <c r="B15" s="22"/>
    </row>
    <row r="16">
      <c r="A16" s="21" t="s">
        <v>75</v>
      </c>
      <c r="B16" s="22" t="s">
        <v>78</v>
      </c>
    </row>
    <row r="17" ht="3.0" customHeight="1">
      <c r="A17" s="21"/>
      <c r="B17" s="22"/>
    </row>
    <row r="18">
      <c r="A18" s="21" t="s">
        <v>79</v>
      </c>
      <c r="B18" s="22" t="s">
        <v>80</v>
      </c>
    </row>
    <row r="19">
      <c r="A19" s="21" t="s">
        <v>81</v>
      </c>
      <c r="B19" s="22" t="s">
        <v>82</v>
      </c>
    </row>
    <row r="20" ht="5.25" customHeight="1">
      <c r="A20" s="21"/>
      <c r="B20" s="22"/>
    </row>
    <row r="21">
      <c r="A21" s="21" t="s">
        <v>83</v>
      </c>
      <c r="B21" s="22" t="s">
        <v>84</v>
      </c>
    </row>
    <row r="22">
      <c r="A22" s="21" t="s">
        <v>85</v>
      </c>
      <c r="B22" s="22" t="s">
        <v>86</v>
      </c>
    </row>
    <row r="23">
      <c r="A23" s="21" t="s">
        <v>87</v>
      </c>
      <c r="B23" s="22" t="s">
        <v>88</v>
      </c>
    </row>
    <row r="24">
      <c r="A24" s="21" t="s">
        <v>89</v>
      </c>
      <c r="B24" s="22" t="s">
        <v>90</v>
      </c>
    </row>
    <row r="25">
      <c r="A25" s="21" t="s">
        <v>91</v>
      </c>
      <c r="B25" s="22" t="s">
        <v>92</v>
      </c>
    </row>
    <row r="26">
      <c r="A26" s="21" t="s">
        <v>93</v>
      </c>
      <c r="B26" s="22" t="s">
        <v>94</v>
      </c>
    </row>
    <row r="27" ht="1.5" customHeight="1">
      <c r="A27" s="21"/>
      <c r="B27" s="22"/>
    </row>
    <row r="28">
      <c r="A28" s="21" t="s">
        <v>95</v>
      </c>
      <c r="B28" s="22"/>
    </row>
    <row r="29">
      <c r="A29" s="21" t="s">
        <v>96</v>
      </c>
      <c r="B29" s="22" t="s">
        <v>97</v>
      </c>
    </row>
    <row r="30">
      <c r="A30" s="21" t="s">
        <v>98</v>
      </c>
      <c r="B30" s="22" t="s">
        <v>99</v>
      </c>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4.5"/>
    <col customWidth="1" min="2" max="2" width="22.38"/>
    <col customWidth="1" min="3" max="3" width="23.75"/>
    <col customWidth="1" min="4" max="4" width="21.5"/>
    <col customWidth="1" min="5" max="5" width="32.63"/>
  </cols>
  <sheetData>
    <row r="1">
      <c r="A1" s="12" t="s">
        <v>100</v>
      </c>
      <c r="B1" s="2"/>
      <c r="C1" s="2"/>
      <c r="D1" s="2"/>
      <c r="E1" s="3"/>
    </row>
    <row r="3">
      <c r="A3" s="23" t="s">
        <v>101</v>
      </c>
      <c r="B3" s="24"/>
      <c r="C3" s="24"/>
      <c r="D3" s="24"/>
      <c r="E3" s="25"/>
    </row>
    <row r="4">
      <c r="A4" s="26" t="s">
        <v>102</v>
      </c>
      <c r="B4" s="27" t="s">
        <v>59</v>
      </c>
      <c r="C4" s="24"/>
      <c r="D4" s="24"/>
      <c r="E4" s="25"/>
    </row>
    <row r="5">
      <c r="A5" s="26" t="s">
        <v>103</v>
      </c>
      <c r="B5" s="27" t="s">
        <v>76</v>
      </c>
      <c r="C5" s="24"/>
      <c r="D5" s="24"/>
      <c r="E5" s="25"/>
    </row>
    <row r="6">
      <c r="A6" s="26" t="s">
        <v>104</v>
      </c>
      <c r="B6" s="27" t="s">
        <v>105</v>
      </c>
      <c r="C6" s="24"/>
      <c r="D6" s="24"/>
      <c r="E6" s="25"/>
    </row>
    <row r="7">
      <c r="A7" s="26" t="s">
        <v>106</v>
      </c>
      <c r="B7" s="27" t="s">
        <v>107</v>
      </c>
      <c r="C7" s="24"/>
      <c r="D7" s="24"/>
      <c r="E7" s="25"/>
    </row>
    <row r="8">
      <c r="A8" s="28"/>
      <c r="B8" s="28"/>
      <c r="C8" s="28"/>
      <c r="D8" s="28"/>
      <c r="E8" s="28"/>
    </row>
    <row r="9">
      <c r="A9" s="28"/>
      <c r="B9" s="28"/>
      <c r="C9" s="28"/>
      <c r="D9" s="28"/>
      <c r="E9" s="28"/>
    </row>
    <row r="10">
      <c r="A10" s="23" t="s">
        <v>108</v>
      </c>
      <c r="B10" s="24"/>
      <c r="C10" s="24"/>
      <c r="D10" s="24"/>
      <c r="E10" s="25"/>
    </row>
    <row r="11">
      <c r="A11" s="29" t="s">
        <v>109</v>
      </c>
      <c r="B11" s="29" t="s">
        <v>110</v>
      </c>
      <c r="C11" s="29" t="s">
        <v>111</v>
      </c>
      <c r="D11" s="29" t="s">
        <v>112</v>
      </c>
      <c r="E11" s="29" t="s">
        <v>113</v>
      </c>
    </row>
    <row r="12">
      <c r="A12" s="30">
        <v>0.0</v>
      </c>
      <c r="B12" s="30">
        <v>0.0</v>
      </c>
      <c r="C12" s="30">
        <v>0.0</v>
      </c>
      <c r="D12" s="30">
        <v>0.0</v>
      </c>
      <c r="E12" s="30">
        <v>5.0</v>
      </c>
    </row>
    <row r="13">
      <c r="A13" s="28"/>
      <c r="B13" s="28"/>
      <c r="C13" s="28"/>
      <c r="D13" s="28"/>
      <c r="E13" s="28"/>
    </row>
    <row r="14">
      <c r="A14" s="28"/>
      <c r="B14" s="28"/>
      <c r="C14" s="28"/>
      <c r="D14" s="28"/>
      <c r="E14" s="28"/>
    </row>
    <row r="15">
      <c r="A15" s="31" t="s">
        <v>114</v>
      </c>
      <c r="B15" s="24"/>
      <c r="C15" s="24"/>
      <c r="D15" s="24"/>
      <c r="E15" s="25"/>
    </row>
    <row r="16">
      <c r="A16" s="32" t="s">
        <v>115</v>
      </c>
      <c r="B16" s="32" t="s">
        <v>116</v>
      </c>
      <c r="C16" s="32" t="s">
        <v>117</v>
      </c>
      <c r="D16" s="33" t="s">
        <v>104</v>
      </c>
      <c r="E16" s="25"/>
    </row>
    <row r="17">
      <c r="A17" s="34" t="s">
        <v>59</v>
      </c>
      <c r="B17" s="34" t="s">
        <v>118</v>
      </c>
      <c r="C17" s="34" t="s">
        <v>119</v>
      </c>
      <c r="D17" s="35" t="s">
        <v>120</v>
      </c>
      <c r="E17" s="25"/>
    </row>
    <row r="18">
      <c r="A18" s="34" t="s">
        <v>121</v>
      </c>
      <c r="B18" s="34" t="s">
        <v>122</v>
      </c>
      <c r="C18" s="34" t="s">
        <v>107</v>
      </c>
      <c r="D18" s="35" t="s">
        <v>123</v>
      </c>
      <c r="E18" s="25"/>
    </row>
    <row r="19">
      <c r="A19" s="34" t="s">
        <v>124</v>
      </c>
      <c r="B19" s="34" t="s">
        <v>122</v>
      </c>
      <c r="C19" s="34" t="s">
        <v>107</v>
      </c>
      <c r="D19" s="35" t="s">
        <v>123</v>
      </c>
      <c r="E19" s="25"/>
    </row>
    <row r="20">
      <c r="A20" s="34" t="s">
        <v>125</v>
      </c>
      <c r="B20" s="34" t="s">
        <v>122</v>
      </c>
      <c r="C20" s="34" t="s">
        <v>107</v>
      </c>
      <c r="D20" s="35" t="s">
        <v>126</v>
      </c>
      <c r="E20" s="25"/>
    </row>
    <row r="21">
      <c r="A21" s="34" t="s">
        <v>127</v>
      </c>
      <c r="B21" s="34" t="s">
        <v>122</v>
      </c>
      <c r="C21" s="34" t="s">
        <v>119</v>
      </c>
      <c r="D21" s="35" t="s">
        <v>120</v>
      </c>
      <c r="E21" s="25"/>
    </row>
    <row r="22">
      <c r="A22" s="34" t="s">
        <v>128</v>
      </c>
      <c r="B22" s="34" t="s">
        <v>122</v>
      </c>
      <c r="C22" s="34" t="s">
        <v>119</v>
      </c>
      <c r="D22" s="35" t="s">
        <v>120</v>
      </c>
      <c r="E22" s="25"/>
    </row>
    <row r="23">
      <c r="A23" s="28"/>
      <c r="B23" s="28"/>
      <c r="C23" s="28"/>
      <c r="D23" s="28"/>
      <c r="E23" s="28"/>
    </row>
    <row r="24">
      <c r="A24" s="28"/>
      <c r="B24" s="28"/>
      <c r="C24" s="28"/>
      <c r="D24" s="28"/>
      <c r="E24" s="28"/>
    </row>
    <row r="25">
      <c r="A25" s="31" t="s">
        <v>129</v>
      </c>
      <c r="B25" s="24"/>
      <c r="C25" s="24"/>
      <c r="D25" s="24"/>
      <c r="E25" s="25"/>
    </row>
    <row r="26">
      <c r="A26" s="28"/>
      <c r="B26" s="28"/>
      <c r="C26" s="28"/>
      <c r="D26" s="28"/>
      <c r="E26" s="28"/>
    </row>
    <row r="27">
      <c r="A27" s="32" t="s">
        <v>102</v>
      </c>
      <c r="B27" s="32" t="s">
        <v>130</v>
      </c>
      <c r="C27" s="32" t="s">
        <v>131</v>
      </c>
      <c r="D27" s="28"/>
      <c r="E27" s="28"/>
    </row>
    <row r="28">
      <c r="A28" s="34" t="s">
        <v>132</v>
      </c>
      <c r="B28" s="34" t="s">
        <v>133</v>
      </c>
      <c r="C28" s="36">
        <v>6.0</v>
      </c>
      <c r="D28" s="28"/>
      <c r="E28" s="28"/>
    </row>
    <row r="29">
      <c r="A29" s="34" t="s">
        <v>134</v>
      </c>
      <c r="B29" s="34" t="s">
        <v>135</v>
      </c>
      <c r="C29" s="36">
        <v>3.0</v>
      </c>
      <c r="D29" s="28"/>
      <c r="E29" s="28"/>
    </row>
    <row r="30">
      <c r="A30" s="34" t="s">
        <v>136</v>
      </c>
      <c r="B30" s="34" t="s">
        <v>137</v>
      </c>
      <c r="C30" s="36">
        <v>2.0</v>
      </c>
      <c r="D30" s="28"/>
      <c r="E30" s="28"/>
    </row>
    <row r="31">
      <c r="A31" s="34" t="s">
        <v>138</v>
      </c>
      <c r="B31" s="34" t="s">
        <v>139</v>
      </c>
      <c r="C31" s="36">
        <v>2.0</v>
      </c>
      <c r="D31" s="28"/>
      <c r="E31" s="28"/>
    </row>
    <row r="32">
      <c r="A32" s="28"/>
      <c r="B32" s="28"/>
      <c r="C32" s="28"/>
      <c r="D32" s="28"/>
      <c r="E32" s="28"/>
    </row>
    <row r="33">
      <c r="A33" s="28"/>
      <c r="B33" s="28"/>
      <c r="C33" s="28"/>
      <c r="D33" s="28"/>
      <c r="E33" s="28"/>
    </row>
    <row r="34">
      <c r="A34" s="28"/>
      <c r="B34" s="28"/>
      <c r="C34" s="28"/>
      <c r="D34" s="28"/>
      <c r="E34" s="28"/>
    </row>
    <row r="35">
      <c r="A35" s="28"/>
      <c r="B35" s="28"/>
      <c r="C35" s="28"/>
      <c r="D35" s="28"/>
      <c r="E35" s="28"/>
    </row>
    <row r="36">
      <c r="A36" s="28"/>
      <c r="B36" s="28"/>
      <c r="C36" s="28"/>
      <c r="D36" s="28"/>
      <c r="E36" s="28"/>
    </row>
    <row r="37">
      <c r="A37" s="28"/>
      <c r="B37" s="28"/>
      <c r="C37" s="28"/>
      <c r="D37" s="28"/>
      <c r="E37" s="28"/>
    </row>
  </sheetData>
  <mergeCells count="16">
    <mergeCell ref="A1:E1"/>
    <mergeCell ref="A3:E3"/>
    <mergeCell ref="B4:E4"/>
    <mergeCell ref="B5:E5"/>
    <mergeCell ref="B6:E6"/>
    <mergeCell ref="B7:E7"/>
    <mergeCell ref="A10:E10"/>
    <mergeCell ref="D22:E22"/>
    <mergeCell ref="A25:E25"/>
    <mergeCell ref="A15:E15"/>
    <mergeCell ref="D16:E16"/>
    <mergeCell ref="D17:E17"/>
    <mergeCell ref="D18:E18"/>
    <mergeCell ref="D19:E19"/>
    <mergeCell ref="D20:E20"/>
    <mergeCell ref="D21:E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5"/>
    <col customWidth="1" min="2" max="2" width="51.13"/>
  </cols>
  <sheetData>
    <row r="1">
      <c r="A1" s="1" t="s">
        <v>140</v>
      </c>
      <c r="B1" s="2"/>
      <c r="C1" s="2"/>
      <c r="D1" s="2"/>
      <c r="E1" s="2"/>
      <c r="F1" s="3"/>
      <c r="G1" s="37"/>
      <c r="H1" s="37"/>
      <c r="I1" s="37"/>
      <c r="J1" s="37"/>
      <c r="K1" s="37"/>
      <c r="L1" s="37"/>
      <c r="M1" s="37"/>
      <c r="N1" s="37"/>
      <c r="O1" s="37"/>
      <c r="P1" s="37"/>
      <c r="Q1" s="37"/>
      <c r="R1" s="37"/>
      <c r="S1" s="37"/>
      <c r="T1" s="37"/>
      <c r="U1" s="37"/>
      <c r="V1" s="37"/>
      <c r="W1" s="37"/>
      <c r="X1" s="37"/>
      <c r="Y1" s="37"/>
      <c r="Z1" s="37"/>
    </row>
    <row r="2" ht="1.5" customHeight="1">
      <c r="A2" s="37"/>
      <c r="B2" s="37"/>
      <c r="C2" s="37"/>
      <c r="D2" s="37"/>
      <c r="E2" s="37"/>
      <c r="F2" s="37"/>
      <c r="G2" s="37"/>
      <c r="H2" s="37"/>
      <c r="I2" s="37"/>
      <c r="J2" s="37"/>
      <c r="K2" s="37"/>
      <c r="L2" s="37"/>
      <c r="M2" s="37"/>
      <c r="N2" s="37"/>
      <c r="O2" s="37"/>
      <c r="P2" s="37"/>
      <c r="Q2" s="37"/>
      <c r="R2" s="37"/>
      <c r="S2" s="37"/>
      <c r="T2" s="37"/>
      <c r="U2" s="37"/>
      <c r="V2" s="37"/>
      <c r="W2" s="37"/>
      <c r="X2" s="37"/>
      <c r="Y2" s="37"/>
      <c r="Z2" s="37"/>
    </row>
    <row r="3">
      <c r="A3" s="37"/>
      <c r="B3" s="37"/>
      <c r="C3" s="37"/>
      <c r="D3" s="37"/>
      <c r="E3" s="37"/>
      <c r="F3" s="38" t="s">
        <v>141</v>
      </c>
      <c r="G3" s="37"/>
      <c r="H3" s="37"/>
      <c r="I3" s="37"/>
      <c r="J3" s="37"/>
      <c r="K3" s="37"/>
      <c r="L3" s="37"/>
      <c r="M3" s="37"/>
      <c r="N3" s="37"/>
      <c r="O3" s="37"/>
      <c r="P3" s="37"/>
      <c r="Q3" s="37"/>
      <c r="R3" s="37"/>
      <c r="S3" s="37"/>
      <c r="T3" s="37"/>
      <c r="U3" s="37"/>
      <c r="V3" s="37"/>
      <c r="W3" s="37"/>
      <c r="X3" s="37"/>
      <c r="Y3" s="37"/>
      <c r="Z3" s="37"/>
    </row>
    <row r="4">
      <c r="A4" s="37"/>
      <c r="B4" s="39" t="s">
        <v>142</v>
      </c>
      <c r="C4" s="40" t="s">
        <v>143</v>
      </c>
      <c r="D4" s="24"/>
      <c r="E4" s="24"/>
      <c r="F4" s="25"/>
      <c r="G4" s="37"/>
      <c r="H4" s="37"/>
      <c r="I4" s="37"/>
      <c r="J4" s="37"/>
      <c r="K4" s="37"/>
      <c r="L4" s="37"/>
      <c r="M4" s="37"/>
      <c r="N4" s="37"/>
      <c r="O4" s="37"/>
      <c r="P4" s="37"/>
      <c r="Q4" s="37"/>
      <c r="R4" s="37"/>
      <c r="S4" s="37"/>
      <c r="T4" s="37"/>
      <c r="U4" s="37"/>
      <c r="V4" s="37"/>
      <c r="W4" s="37"/>
      <c r="X4" s="37"/>
      <c r="Y4" s="37"/>
      <c r="Z4" s="37"/>
    </row>
    <row r="5">
      <c r="A5" s="37"/>
      <c r="B5" s="39" t="s">
        <v>144</v>
      </c>
      <c r="C5" s="40">
        <v>2025.0</v>
      </c>
      <c r="D5" s="41"/>
      <c r="E5" s="41"/>
      <c r="F5" s="42"/>
      <c r="G5" s="37"/>
      <c r="H5" s="37"/>
      <c r="I5" s="37"/>
      <c r="J5" s="37"/>
      <c r="K5" s="37"/>
      <c r="L5" s="37"/>
      <c r="M5" s="37"/>
      <c r="N5" s="37"/>
      <c r="O5" s="37"/>
      <c r="P5" s="37"/>
      <c r="Q5" s="37"/>
      <c r="R5" s="37"/>
      <c r="S5" s="37"/>
      <c r="T5" s="37"/>
      <c r="U5" s="37"/>
      <c r="V5" s="37"/>
      <c r="W5" s="37"/>
      <c r="X5" s="37"/>
      <c r="Y5" s="37"/>
      <c r="Z5" s="37"/>
    </row>
    <row r="6">
      <c r="A6" s="37"/>
      <c r="B6" s="39" t="s">
        <v>145</v>
      </c>
      <c r="C6" s="40" t="s">
        <v>146</v>
      </c>
      <c r="D6" s="41"/>
      <c r="E6" s="41"/>
      <c r="F6" s="42"/>
      <c r="G6" s="37"/>
      <c r="H6" s="37"/>
      <c r="I6" s="37"/>
      <c r="J6" s="37"/>
      <c r="K6" s="37"/>
      <c r="L6" s="37"/>
      <c r="M6" s="37"/>
      <c r="N6" s="37"/>
      <c r="O6" s="37"/>
      <c r="P6" s="37"/>
      <c r="Q6" s="37"/>
      <c r="R6" s="37"/>
      <c r="S6" s="37"/>
      <c r="T6" s="37"/>
      <c r="U6" s="37"/>
      <c r="V6" s="37"/>
      <c r="W6" s="37"/>
      <c r="X6" s="37"/>
      <c r="Y6" s="37"/>
      <c r="Z6" s="37"/>
    </row>
    <row r="7">
      <c r="A7" s="37"/>
      <c r="B7" s="43" t="s">
        <v>147</v>
      </c>
      <c r="C7" s="40" t="s">
        <v>148</v>
      </c>
      <c r="D7" s="41"/>
      <c r="E7" s="41"/>
      <c r="F7" s="42"/>
      <c r="G7" s="37"/>
      <c r="H7" s="37"/>
      <c r="I7" s="37"/>
      <c r="J7" s="37"/>
      <c r="K7" s="37"/>
      <c r="L7" s="37"/>
      <c r="M7" s="37"/>
      <c r="N7" s="37"/>
      <c r="O7" s="37"/>
      <c r="P7" s="37"/>
      <c r="Q7" s="37"/>
      <c r="R7" s="37"/>
      <c r="S7" s="37"/>
      <c r="T7" s="37"/>
      <c r="U7" s="37"/>
      <c r="V7" s="37"/>
      <c r="W7" s="37"/>
      <c r="X7" s="37"/>
      <c r="Y7" s="37"/>
      <c r="Z7" s="37"/>
    </row>
    <row r="8">
      <c r="A8" s="37"/>
      <c r="B8" s="44"/>
      <c r="C8" s="45">
        <v>2023.0</v>
      </c>
      <c r="D8" s="45">
        <v>2024.0</v>
      </c>
      <c r="E8" s="45">
        <v>2025.0</v>
      </c>
      <c r="F8" s="45">
        <v>2026.0</v>
      </c>
      <c r="G8" s="37"/>
      <c r="H8" s="37"/>
      <c r="I8" s="37"/>
      <c r="J8" s="37"/>
      <c r="K8" s="37"/>
      <c r="L8" s="37"/>
      <c r="M8" s="37"/>
      <c r="N8" s="37"/>
      <c r="O8" s="37"/>
      <c r="P8" s="37"/>
      <c r="Q8" s="37"/>
      <c r="R8" s="37"/>
      <c r="S8" s="37"/>
      <c r="T8" s="37"/>
      <c r="U8" s="37"/>
      <c r="V8" s="37"/>
      <c r="W8" s="37"/>
      <c r="X8" s="37"/>
      <c r="Y8" s="37"/>
      <c r="Z8" s="37"/>
    </row>
    <row r="9">
      <c r="A9" s="37"/>
      <c r="B9" s="39" t="s">
        <v>149</v>
      </c>
      <c r="C9" s="46">
        <v>45016.0</v>
      </c>
      <c r="D9" s="46">
        <v>45382.0</v>
      </c>
      <c r="E9" s="46">
        <v>45747.0</v>
      </c>
      <c r="F9" s="46">
        <v>46112.0</v>
      </c>
      <c r="G9" s="37"/>
      <c r="H9" s="37"/>
      <c r="I9" s="37"/>
      <c r="J9" s="37"/>
      <c r="K9" s="37"/>
      <c r="L9" s="37"/>
      <c r="M9" s="37"/>
      <c r="N9" s="37"/>
      <c r="O9" s="37"/>
      <c r="P9" s="37"/>
      <c r="Q9" s="37"/>
      <c r="R9" s="37"/>
      <c r="S9" s="37"/>
      <c r="T9" s="37"/>
      <c r="U9" s="37"/>
      <c r="V9" s="37"/>
      <c r="W9" s="37"/>
      <c r="X9" s="37"/>
      <c r="Y9" s="37"/>
      <c r="Z9" s="37"/>
    </row>
    <row r="10">
      <c r="A10" s="37"/>
      <c r="B10" s="39" t="s">
        <v>150</v>
      </c>
      <c r="C10" s="47">
        <v>12.0</v>
      </c>
      <c r="D10" s="47">
        <v>12.0</v>
      </c>
      <c r="E10" s="47">
        <v>12.0</v>
      </c>
      <c r="F10" s="47">
        <v>12.0</v>
      </c>
      <c r="G10" s="37"/>
      <c r="H10" s="37"/>
      <c r="I10" s="37"/>
      <c r="J10" s="37"/>
      <c r="K10" s="37"/>
      <c r="L10" s="37"/>
      <c r="M10" s="37"/>
      <c r="N10" s="37"/>
      <c r="O10" s="37"/>
      <c r="P10" s="37"/>
      <c r="Q10" s="37"/>
      <c r="R10" s="37"/>
      <c r="S10" s="37"/>
      <c r="T10" s="37"/>
      <c r="U10" s="37"/>
      <c r="V10" s="37"/>
      <c r="W10" s="37"/>
      <c r="X10" s="37"/>
      <c r="Y10" s="37"/>
      <c r="Z10" s="37"/>
    </row>
    <row r="11" hidden="1">
      <c r="A11" s="37"/>
      <c r="B11" s="39" t="s">
        <v>151</v>
      </c>
      <c r="C11" s="47">
        <v>1.0</v>
      </c>
      <c r="D11" s="47">
        <v>1.0</v>
      </c>
      <c r="E11" s="47">
        <v>1.0</v>
      </c>
      <c r="F11" s="47">
        <v>1.0</v>
      </c>
      <c r="G11" s="37"/>
      <c r="H11" s="37"/>
      <c r="I11" s="37"/>
      <c r="J11" s="37"/>
      <c r="K11" s="37"/>
      <c r="L11" s="37"/>
      <c r="M11" s="37"/>
      <c r="N11" s="37"/>
      <c r="O11" s="37"/>
      <c r="P11" s="37"/>
      <c r="Q11" s="37"/>
      <c r="R11" s="37"/>
      <c r="S11" s="37"/>
      <c r="T11" s="37"/>
      <c r="U11" s="37"/>
      <c r="V11" s="37"/>
      <c r="W11" s="37"/>
      <c r="X11" s="37"/>
      <c r="Y11" s="37"/>
      <c r="Z11" s="37"/>
    </row>
    <row r="12">
      <c r="A12" s="37"/>
      <c r="B12" s="44"/>
      <c r="C12" s="48" t="s">
        <v>152</v>
      </c>
      <c r="D12" s="48" t="s">
        <v>152</v>
      </c>
      <c r="E12" s="48" t="s">
        <v>152</v>
      </c>
      <c r="F12" s="48" t="s">
        <v>153</v>
      </c>
      <c r="G12" s="37"/>
      <c r="H12" s="37"/>
      <c r="I12" s="37"/>
      <c r="J12" s="37"/>
      <c r="K12" s="37"/>
      <c r="L12" s="37"/>
      <c r="M12" s="37"/>
      <c r="N12" s="37"/>
      <c r="O12" s="37"/>
      <c r="P12" s="37"/>
      <c r="Q12" s="37"/>
      <c r="R12" s="37"/>
      <c r="S12" s="37"/>
      <c r="T12" s="37"/>
      <c r="U12" s="37"/>
      <c r="V12" s="37"/>
      <c r="W12" s="37"/>
      <c r="X12" s="37"/>
      <c r="Y12" s="37"/>
      <c r="Z12" s="37"/>
    </row>
    <row r="13">
      <c r="A13" s="37"/>
      <c r="B13" s="49" t="s">
        <v>154</v>
      </c>
      <c r="C13" s="50"/>
      <c r="D13" s="50"/>
      <c r="E13" s="50"/>
      <c r="F13" s="50"/>
      <c r="G13" s="37"/>
      <c r="H13" s="37"/>
      <c r="I13" s="37"/>
      <c r="J13" s="37"/>
      <c r="K13" s="37"/>
      <c r="L13" s="37"/>
      <c r="M13" s="37"/>
      <c r="N13" s="37"/>
      <c r="O13" s="37"/>
      <c r="P13" s="37"/>
      <c r="Q13" s="37"/>
      <c r="R13" s="37"/>
      <c r="S13" s="37"/>
      <c r="T13" s="37"/>
      <c r="U13" s="37"/>
      <c r="V13" s="37"/>
      <c r="W13" s="37"/>
      <c r="X13" s="37"/>
      <c r="Y13" s="37"/>
      <c r="Z13" s="37"/>
    </row>
    <row r="14">
      <c r="A14" s="37"/>
      <c r="B14" s="51" t="s">
        <v>155</v>
      </c>
      <c r="C14" s="52">
        <v>829.0</v>
      </c>
      <c r="D14" s="52">
        <v>1033.65</v>
      </c>
      <c r="E14" s="52">
        <v>936.6</v>
      </c>
      <c r="F14" s="52">
        <v>1218.22</v>
      </c>
      <c r="G14" s="37"/>
      <c r="H14" s="37"/>
      <c r="I14" s="37"/>
      <c r="J14" s="37"/>
      <c r="K14" s="37"/>
      <c r="L14" s="37"/>
      <c r="M14" s="37"/>
      <c r="N14" s="37"/>
      <c r="O14" s="37"/>
      <c r="P14" s="37"/>
      <c r="Q14" s="37"/>
      <c r="R14" s="37"/>
      <c r="S14" s="37"/>
      <c r="T14" s="37"/>
      <c r="U14" s="37"/>
      <c r="V14" s="37"/>
      <c r="W14" s="37"/>
      <c r="X14" s="37"/>
      <c r="Y14" s="37"/>
      <c r="Z14" s="37"/>
    </row>
    <row r="15">
      <c r="A15" s="37"/>
      <c r="B15" s="51" t="s">
        <v>156</v>
      </c>
      <c r="C15" s="52">
        <v>1033.65</v>
      </c>
      <c r="D15" s="52">
        <v>936.6</v>
      </c>
      <c r="E15" s="52">
        <v>1218.22</v>
      </c>
      <c r="F15" s="52">
        <v>1750.0</v>
      </c>
      <c r="G15" s="37"/>
      <c r="H15" s="37"/>
      <c r="I15" s="37"/>
      <c r="J15" s="37"/>
      <c r="K15" s="37"/>
      <c r="L15" s="37"/>
      <c r="M15" s="37"/>
      <c r="N15" s="37"/>
      <c r="O15" s="37"/>
      <c r="P15" s="37"/>
      <c r="Q15" s="37"/>
      <c r="R15" s="37"/>
      <c r="S15" s="37"/>
      <c r="T15" s="37"/>
      <c r="U15" s="37"/>
      <c r="V15" s="37"/>
      <c r="W15" s="37"/>
      <c r="X15" s="37"/>
      <c r="Y15" s="37"/>
      <c r="Z15" s="37"/>
    </row>
    <row r="16">
      <c r="A16" s="37"/>
      <c r="B16" s="53" t="s">
        <v>157</v>
      </c>
      <c r="C16" s="54"/>
      <c r="D16" s="52">
        <v>0.0</v>
      </c>
      <c r="E16" s="54"/>
      <c r="F16" s="54"/>
      <c r="G16" s="37"/>
      <c r="H16" s="37"/>
      <c r="I16" s="37"/>
      <c r="J16" s="37"/>
      <c r="K16" s="37"/>
      <c r="L16" s="37"/>
      <c r="M16" s="37"/>
      <c r="N16" s="37"/>
      <c r="O16" s="37"/>
      <c r="P16" s="37"/>
      <c r="Q16" s="37"/>
      <c r="R16" s="37"/>
      <c r="S16" s="37"/>
      <c r="T16" s="37"/>
      <c r="U16" s="37"/>
      <c r="V16" s="37"/>
      <c r="W16" s="37"/>
      <c r="X16" s="37"/>
      <c r="Y16" s="37"/>
      <c r="Z16" s="37"/>
    </row>
    <row r="17">
      <c r="A17" s="37"/>
      <c r="B17" s="51" t="s">
        <v>158</v>
      </c>
      <c r="C17" s="52">
        <v>0.25</v>
      </c>
      <c r="D17" s="52">
        <v>-9.39</v>
      </c>
      <c r="E17" s="52">
        <v>30.07</v>
      </c>
      <c r="F17" s="52">
        <v>43.65</v>
      </c>
      <c r="G17" s="37"/>
      <c r="H17" s="37"/>
      <c r="I17" s="37"/>
      <c r="J17" s="37"/>
      <c r="K17" s="37"/>
      <c r="L17" s="37"/>
      <c r="M17" s="37"/>
      <c r="N17" s="37"/>
      <c r="O17" s="37"/>
      <c r="P17" s="37"/>
      <c r="Q17" s="37"/>
      <c r="R17" s="37"/>
      <c r="S17" s="37"/>
      <c r="T17" s="37"/>
      <c r="U17" s="37"/>
      <c r="V17" s="37"/>
      <c r="W17" s="37"/>
      <c r="X17" s="37"/>
      <c r="Y17" s="37"/>
      <c r="Z17" s="37"/>
    </row>
    <row r="18">
      <c r="A18" s="37"/>
      <c r="B18" s="53" t="s">
        <v>159</v>
      </c>
      <c r="C18" s="52">
        <v>50.43</v>
      </c>
      <c r="D18" s="52">
        <v>42.57</v>
      </c>
      <c r="E18" s="52">
        <v>55.35</v>
      </c>
      <c r="F18" s="52">
        <v>60.0</v>
      </c>
      <c r="G18" s="37"/>
      <c r="H18" s="37"/>
      <c r="I18" s="37"/>
      <c r="J18" s="37"/>
      <c r="K18" s="37"/>
      <c r="L18" s="37"/>
      <c r="M18" s="37"/>
      <c r="N18" s="37"/>
      <c r="O18" s="37"/>
      <c r="P18" s="37"/>
      <c r="Q18" s="37"/>
      <c r="R18" s="37"/>
      <c r="S18" s="37"/>
      <c r="T18" s="37"/>
      <c r="U18" s="37"/>
      <c r="V18" s="37"/>
      <c r="W18" s="37"/>
      <c r="X18" s="37"/>
      <c r="Y18" s="37"/>
      <c r="Z18" s="37"/>
    </row>
    <row r="19">
      <c r="A19" s="37"/>
      <c r="B19" s="55" t="s">
        <v>160</v>
      </c>
      <c r="C19" s="52">
        <v>1084.08</v>
      </c>
      <c r="D19" s="52">
        <v>979.17</v>
      </c>
      <c r="E19" s="52">
        <v>1273.57</v>
      </c>
      <c r="F19" s="52">
        <v>1810.0</v>
      </c>
      <c r="G19" s="37"/>
      <c r="H19" s="37"/>
      <c r="I19" s="37"/>
      <c r="J19" s="37"/>
      <c r="K19" s="37"/>
      <c r="L19" s="37"/>
      <c r="M19" s="37"/>
      <c r="N19" s="37"/>
      <c r="O19" s="37"/>
      <c r="P19" s="37"/>
      <c r="Q19" s="37"/>
      <c r="R19" s="37"/>
      <c r="S19" s="37"/>
      <c r="T19" s="37"/>
      <c r="U19" s="37"/>
      <c r="V19" s="37"/>
      <c r="W19" s="37"/>
      <c r="X19" s="37"/>
      <c r="Y19" s="37"/>
      <c r="Z19" s="37"/>
    </row>
    <row r="20">
      <c r="A20" s="37"/>
      <c r="B20" s="51" t="s">
        <v>161</v>
      </c>
      <c r="C20" s="52">
        <v>2.06</v>
      </c>
      <c r="D20" s="52">
        <v>2.48</v>
      </c>
      <c r="E20" s="52">
        <v>4.9</v>
      </c>
      <c r="F20" s="52">
        <v>4.0</v>
      </c>
      <c r="G20" s="37"/>
      <c r="H20" s="37"/>
      <c r="I20" s="37"/>
      <c r="J20" s="37"/>
      <c r="K20" s="37"/>
      <c r="L20" s="37"/>
      <c r="M20" s="37"/>
      <c r="N20" s="37"/>
      <c r="O20" s="37"/>
      <c r="P20" s="37"/>
      <c r="Q20" s="37"/>
      <c r="R20" s="37"/>
      <c r="S20" s="37"/>
      <c r="T20" s="37"/>
      <c r="U20" s="37"/>
      <c r="V20" s="37"/>
      <c r="W20" s="37"/>
      <c r="X20" s="37"/>
      <c r="Y20" s="37"/>
      <c r="Z20" s="37"/>
    </row>
    <row r="21">
      <c r="A21" s="37"/>
      <c r="B21" s="51" t="s">
        <v>162</v>
      </c>
      <c r="C21" s="52">
        <v>0.0</v>
      </c>
      <c r="D21" s="52">
        <v>0.0</v>
      </c>
      <c r="E21" s="52">
        <v>0.0</v>
      </c>
      <c r="F21" s="52">
        <v>0.0</v>
      </c>
      <c r="G21" s="37"/>
      <c r="H21" s="37"/>
      <c r="I21" s="37"/>
      <c r="J21" s="37"/>
      <c r="K21" s="37"/>
      <c r="L21" s="37"/>
      <c r="M21" s="37"/>
      <c r="N21" s="37"/>
      <c r="O21" s="37"/>
      <c r="P21" s="37"/>
      <c r="Q21" s="37"/>
      <c r="R21" s="37"/>
      <c r="S21" s="37"/>
      <c r="T21" s="37"/>
      <c r="U21" s="37"/>
      <c r="V21" s="37"/>
      <c r="W21" s="37"/>
      <c r="X21" s="37"/>
      <c r="Y21" s="37"/>
      <c r="Z21" s="37"/>
    </row>
    <row r="22">
      <c r="A22" s="37"/>
      <c r="B22" s="51" t="s">
        <v>163</v>
      </c>
      <c r="C22" s="52">
        <v>1046.01</v>
      </c>
      <c r="D22" s="52">
        <v>933.61</v>
      </c>
      <c r="E22" s="52">
        <v>1213.05</v>
      </c>
      <c r="F22" s="52">
        <v>1726.0</v>
      </c>
      <c r="G22" s="37"/>
      <c r="H22" s="37"/>
      <c r="I22" s="37"/>
      <c r="J22" s="37"/>
      <c r="K22" s="37"/>
      <c r="L22" s="37"/>
      <c r="M22" s="37"/>
      <c r="N22" s="37"/>
      <c r="O22" s="37"/>
      <c r="P22" s="37"/>
      <c r="Q22" s="37"/>
      <c r="R22" s="37"/>
      <c r="S22" s="37"/>
      <c r="T22" s="37"/>
      <c r="U22" s="37"/>
      <c r="V22" s="37"/>
      <c r="W22" s="37"/>
      <c r="X22" s="37"/>
      <c r="Y22" s="37"/>
      <c r="Z22" s="37"/>
    </row>
    <row r="23">
      <c r="A23" s="37"/>
      <c r="B23" s="55" t="s">
        <v>164</v>
      </c>
      <c r="C23" s="52">
        <v>36.01</v>
      </c>
      <c r="D23" s="52">
        <v>43.08</v>
      </c>
      <c r="E23" s="52">
        <v>55.62</v>
      </c>
      <c r="F23" s="52">
        <v>80.0</v>
      </c>
      <c r="G23" s="37"/>
      <c r="H23" s="37"/>
      <c r="I23" s="37"/>
      <c r="J23" s="37"/>
      <c r="K23" s="37"/>
      <c r="L23" s="37"/>
      <c r="M23" s="37"/>
      <c r="N23" s="37"/>
      <c r="O23" s="37"/>
      <c r="P23" s="37"/>
      <c r="Q23" s="37"/>
      <c r="R23" s="37"/>
      <c r="S23" s="37"/>
      <c r="T23" s="37"/>
      <c r="U23" s="37"/>
      <c r="V23" s="37"/>
      <c r="W23" s="37"/>
      <c r="X23" s="37"/>
      <c r="Y23" s="37"/>
      <c r="Z23" s="37"/>
    </row>
    <row r="24">
      <c r="A24" s="37"/>
      <c r="B24" s="51" t="s">
        <v>165</v>
      </c>
      <c r="C24" s="52">
        <v>0.0</v>
      </c>
      <c r="D24" s="52">
        <v>0.0</v>
      </c>
      <c r="E24" s="52">
        <v>0.0</v>
      </c>
      <c r="F24" s="52">
        <v>0.0</v>
      </c>
      <c r="G24" s="37"/>
      <c r="H24" s="37"/>
      <c r="I24" s="37"/>
      <c r="J24" s="37"/>
      <c r="K24" s="37"/>
      <c r="L24" s="37"/>
      <c r="M24" s="37"/>
      <c r="N24" s="37"/>
      <c r="O24" s="37"/>
      <c r="P24" s="37"/>
      <c r="Q24" s="37"/>
      <c r="R24" s="37"/>
      <c r="S24" s="37"/>
      <c r="T24" s="37"/>
      <c r="U24" s="37"/>
      <c r="V24" s="37"/>
      <c r="W24" s="37"/>
      <c r="X24" s="37"/>
      <c r="Y24" s="37"/>
      <c r="Z24" s="37"/>
    </row>
    <row r="25">
      <c r="A25" s="37"/>
      <c r="B25" s="51" t="s">
        <v>166</v>
      </c>
      <c r="C25" s="52">
        <v>0.0</v>
      </c>
      <c r="D25" s="52">
        <v>0.0</v>
      </c>
      <c r="E25" s="52">
        <v>0.0</v>
      </c>
      <c r="F25" s="52">
        <v>0.0</v>
      </c>
      <c r="G25" s="37"/>
      <c r="H25" s="37"/>
      <c r="I25" s="37"/>
      <c r="J25" s="37"/>
      <c r="K25" s="37"/>
      <c r="L25" s="37"/>
      <c r="M25" s="37"/>
      <c r="N25" s="37"/>
      <c r="O25" s="37"/>
      <c r="P25" s="37"/>
      <c r="Q25" s="37"/>
      <c r="R25" s="37"/>
      <c r="S25" s="37"/>
      <c r="T25" s="37"/>
      <c r="U25" s="37"/>
      <c r="V25" s="37"/>
      <c r="W25" s="37"/>
      <c r="X25" s="37"/>
      <c r="Y25" s="37"/>
      <c r="Z25" s="37"/>
    </row>
    <row r="26">
      <c r="A26" s="37"/>
      <c r="B26" s="55" t="s">
        <v>167</v>
      </c>
      <c r="C26" s="52">
        <v>0.0</v>
      </c>
      <c r="D26" s="52">
        <v>0.0</v>
      </c>
      <c r="E26" s="52">
        <v>0.0</v>
      </c>
      <c r="F26" s="52">
        <v>0.0</v>
      </c>
      <c r="G26" s="37"/>
      <c r="H26" s="37"/>
      <c r="I26" s="37"/>
      <c r="J26" s="37"/>
      <c r="K26" s="37"/>
      <c r="L26" s="37"/>
      <c r="M26" s="37"/>
      <c r="N26" s="37"/>
      <c r="O26" s="37"/>
      <c r="P26" s="37"/>
      <c r="Q26" s="37"/>
      <c r="R26" s="37"/>
      <c r="S26" s="37"/>
      <c r="T26" s="37"/>
      <c r="U26" s="37"/>
      <c r="V26" s="37"/>
      <c r="W26" s="37"/>
      <c r="X26" s="37"/>
      <c r="Y26" s="37"/>
      <c r="Z26" s="37"/>
    </row>
    <row r="27">
      <c r="A27" s="37"/>
      <c r="B27" s="55" t="s">
        <v>168</v>
      </c>
      <c r="C27" s="52">
        <v>38.07</v>
      </c>
      <c r="D27" s="52">
        <v>45.56</v>
      </c>
      <c r="E27" s="52">
        <v>60.52</v>
      </c>
      <c r="F27" s="52">
        <v>84.0</v>
      </c>
      <c r="G27" s="37"/>
      <c r="H27" s="37"/>
      <c r="I27" s="37"/>
      <c r="J27" s="37"/>
      <c r="K27" s="37"/>
      <c r="L27" s="37"/>
      <c r="M27" s="37"/>
      <c r="N27" s="37"/>
      <c r="O27" s="37"/>
      <c r="P27" s="37"/>
      <c r="Q27" s="37"/>
      <c r="R27" s="37"/>
      <c r="S27" s="37"/>
      <c r="T27" s="37"/>
      <c r="U27" s="37"/>
      <c r="V27" s="37"/>
      <c r="W27" s="37"/>
      <c r="X27" s="37"/>
      <c r="Y27" s="37"/>
      <c r="Z27" s="37"/>
    </row>
    <row r="28">
      <c r="A28" s="37"/>
      <c r="B28" s="51" t="s">
        <v>169</v>
      </c>
      <c r="C28" s="52">
        <v>5.78</v>
      </c>
      <c r="D28" s="52">
        <v>12.0</v>
      </c>
      <c r="E28" s="52">
        <v>18.71</v>
      </c>
      <c r="F28" s="52">
        <v>34.76</v>
      </c>
      <c r="G28" s="37"/>
      <c r="H28" s="37"/>
      <c r="I28" s="37"/>
      <c r="J28" s="37"/>
      <c r="K28" s="37"/>
      <c r="L28" s="37"/>
      <c r="M28" s="37"/>
      <c r="N28" s="37"/>
      <c r="O28" s="37"/>
      <c r="P28" s="37"/>
      <c r="Q28" s="37"/>
      <c r="R28" s="37"/>
      <c r="S28" s="37"/>
      <c r="T28" s="37"/>
      <c r="U28" s="37"/>
      <c r="V28" s="37"/>
      <c r="W28" s="37"/>
      <c r="X28" s="37"/>
      <c r="Y28" s="37"/>
      <c r="Z28" s="37"/>
    </row>
    <row r="29">
      <c r="A29" s="37"/>
      <c r="B29" s="55" t="s">
        <v>170</v>
      </c>
      <c r="C29" s="52">
        <v>30.23</v>
      </c>
      <c r="D29" s="52">
        <v>31.08</v>
      </c>
      <c r="E29" s="52">
        <v>36.91</v>
      </c>
      <c r="F29" s="52">
        <v>45.24</v>
      </c>
      <c r="G29" s="37"/>
      <c r="H29" s="37"/>
      <c r="I29" s="37"/>
      <c r="J29" s="37"/>
      <c r="K29" s="37"/>
      <c r="L29" s="37"/>
      <c r="M29" s="37"/>
      <c r="N29" s="37"/>
      <c r="O29" s="37"/>
      <c r="P29" s="37"/>
      <c r="Q29" s="37"/>
      <c r="R29" s="37"/>
      <c r="S29" s="37"/>
      <c r="T29" s="37"/>
      <c r="U29" s="37"/>
      <c r="V29" s="37"/>
      <c r="W29" s="37"/>
      <c r="X29" s="37"/>
      <c r="Y29" s="37"/>
      <c r="Z29" s="37"/>
    </row>
    <row r="30">
      <c r="A30" s="37"/>
      <c r="B30" s="55" t="s">
        <v>171</v>
      </c>
      <c r="C30" s="52">
        <v>0.0</v>
      </c>
      <c r="D30" s="52">
        <v>0.0</v>
      </c>
      <c r="E30" s="52">
        <v>0.0</v>
      </c>
      <c r="F30" s="52">
        <v>0.0</v>
      </c>
      <c r="G30" s="37"/>
      <c r="H30" s="37"/>
      <c r="I30" s="37"/>
      <c r="J30" s="37"/>
      <c r="K30" s="37"/>
      <c r="L30" s="37"/>
      <c r="M30" s="37"/>
      <c r="N30" s="37"/>
      <c r="O30" s="37"/>
      <c r="P30" s="37"/>
      <c r="Q30" s="37"/>
      <c r="R30" s="37"/>
      <c r="S30" s="37"/>
      <c r="T30" s="37"/>
      <c r="U30" s="37"/>
      <c r="V30" s="37"/>
      <c r="W30" s="37"/>
      <c r="X30" s="37"/>
      <c r="Y30" s="37"/>
      <c r="Z30" s="37"/>
    </row>
    <row r="31">
      <c r="A31" s="37"/>
      <c r="B31" s="55" t="s">
        <v>172</v>
      </c>
      <c r="C31" s="52">
        <v>30.23</v>
      </c>
      <c r="D31" s="52">
        <v>31.08</v>
      </c>
      <c r="E31" s="52">
        <v>36.91</v>
      </c>
      <c r="F31" s="52">
        <v>45.24</v>
      </c>
      <c r="G31" s="37"/>
      <c r="H31" s="37"/>
      <c r="I31" s="37"/>
      <c r="J31" s="37"/>
      <c r="K31" s="37"/>
      <c r="L31" s="37"/>
      <c r="M31" s="37"/>
      <c r="N31" s="37"/>
      <c r="O31" s="37"/>
      <c r="P31" s="37"/>
      <c r="Q31" s="37"/>
      <c r="R31" s="37"/>
      <c r="S31" s="37"/>
      <c r="T31" s="37"/>
      <c r="U31" s="37"/>
      <c r="V31" s="37"/>
      <c r="W31" s="37"/>
      <c r="X31" s="37"/>
      <c r="Y31" s="37"/>
      <c r="Z31" s="37"/>
    </row>
    <row r="32">
      <c r="A32" s="37"/>
      <c r="B32" s="55" t="s">
        <v>173</v>
      </c>
      <c r="C32" s="52">
        <v>32.29</v>
      </c>
      <c r="D32" s="52">
        <v>33.56</v>
      </c>
      <c r="E32" s="52">
        <v>41.81</v>
      </c>
      <c r="F32" s="52">
        <v>49.24</v>
      </c>
      <c r="G32" s="37"/>
      <c r="H32" s="37"/>
      <c r="I32" s="37"/>
      <c r="J32" s="37"/>
      <c r="K32" s="37"/>
      <c r="L32" s="37"/>
      <c r="M32" s="37"/>
      <c r="N32" s="37"/>
      <c r="O32" s="37"/>
      <c r="P32" s="37"/>
      <c r="Q32" s="37"/>
      <c r="R32" s="37"/>
      <c r="S32" s="37"/>
      <c r="T32" s="37"/>
      <c r="U32" s="37"/>
      <c r="V32" s="37"/>
      <c r="W32" s="37"/>
      <c r="X32" s="37"/>
      <c r="Y32" s="37"/>
      <c r="Z32" s="37"/>
    </row>
    <row r="33">
      <c r="A33" s="37"/>
      <c r="B33" s="56" t="s">
        <v>174</v>
      </c>
      <c r="C33" s="57"/>
      <c r="D33" s="57"/>
      <c r="E33" s="57"/>
      <c r="F33" s="57"/>
      <c r="G33" s="37"/>
      <c r="H33" s="37"/>
      <c r="I33" s="37"/>
      <c r="J33" s="37"/>
      <c r="K33" s="37"/>
      <c r="L33" s="37"/>
      <c r="M33" s="37"/>
      <c r="N33" s="37"/>
      <c r="O33" s="37"/>
      <c r="P33" s="37"/>
      <c r="Q33" s="37"/>
      <c r="R33" s="37"/>
      <c r="S33" s="37"/>
      <c r="T33" s="37"/>
      <c r="U33" s="37"/>
      <c r="V33" s="37"/>
      <c r="W33" s="37"/>
      <c r="X33" s="37"/>
      <c r="Y33" s="37"/>
      <c r="Z33" s="37"/>
    </row>
    <row r="34">
      <c r="A34" s="37"/>
      <c r="B34" s="53" t="s">
        <v>175</v>
      </c>
      <c r="C34" s="52">
        <v>14.66</v>
      </c>
      <c r="D34" s="52">
        <v>52.0</v>
      </c>
      <c r="E34" s="52">
        <v>104.8</v>
      </c>
      <c r="F34" s="52">
        <v>150.04</v>
      </c>
      <c r="G34" s="37"/>
      <c r="H34" s="37"/>
      <c r="I34" s="37"/>
      <c r="J34" s="37"/>
      <c r="K34" s="37"/>
      <c r="L34" s="37"/>
      <c r="M34" s="37"/>
      <c r="N34" s="37"/>
      <c r="O34" s="37"/>
      <c r="P34" s="37"/>
      <c r="Q34" s="37"/>
      <c r="R34" s="37"/>
      <c r="S34" s="37"/>
      <c r="T34" s="37"/>
      <c r="U34" s="37"/>
      <c r="V34" s="37"/>
      <c r="W34" s="37"/>
      <c r="X34" s="37"/>
      <c r="Y34" s="37"/>
      <c r="Z34" s="37"/>
    </row>
    <row r="35">
      <c r="A35" s="37"/>
      <c r="B35" s="51" t="s">
        <v>176</v>
      </c>
      <c r="C35" s="52">
        <v>0.0</v>
      </c>
      <c r="D35" s="52">
        <v>0.0</v>
      </c>
      <c r="E35" s="52">
        <v>0.0</v>
      </c>
      <c r="F35" s="52">
        <v>0.0</v>
      </c>
      <c r="G35" s="37"/>
      <c r="H35" s="37"/>
      <c r="I35" s="37"/>
      <c r="J35" s="37"/>
      <c r="K35" s="37"/>
      <c r="L35" s="37"/>
      <c r="M35" s="37"/>
      <c r="N35" s="37"/>
      <c r="O35" s="37"/>
      <c r="P35" s="37"/>
      <c r="Q35" s="37"/>
      <c r="R35" s="37"/>
      <c r="S35" s="37"/>
      <c r="T35" s="37"/>
      <c r="U35" s="37"/>
      <c r="V35" s="37"/>
      <c r="W35" s="37"/>
      <c r="X35" s="37"/>
      <c r="Y35" s="37"/>
      <c r="Z35" s="37"/>
    </row>
    <row r="36">
      <c r="A36" s="37"/>
      <c r="B36" s="55" t="s">
        <v>177</v>
      </c>
      <c r="C36" s="52">
        <v>14.66</v>
      </c>
      <c r="D36" s="52">
        <v>52.0</v>
      </c>
      <c r="E36" s="52">
        <v>104.8</v>
      </c>
      <c r="F36" s="52">
        <v>150.04</v>
      </c>
      <c r="G36" s="37"/>
      <c r="H36" s="37"/>
      <c r="I36" s="37"/>
      <c r="J36" s="37"/>
      <c r="K36" s="37"/>
      <c r="L36" s="37"/>
      <c r="M36" s="37"/>
      <c r="N36" s="37"/>
      <c r="O36" s="37"/>
      <c r="P36" s="37"/>
      <c r="Q36" s="37"/>
      <c r="R36" s="37"/>
      <c r="S36" s="37"/>
      <c r="T36" s="37"/>
      <c r="U36" s="37"/>
      <c r="V36" s="37"/>
      <c r="W36" s="37"/>
      <c r="X36" s="37"/>
      <c r="Y36" s="37"/>
      <c r="Z36" s="37"/>
    </row>
    <row r="37">
      <c r="A37" s="37"/>
      <c r="B37" s="51" t="s">
        <v>178</v>
      </c>
      <c r="C37" s="52">
        <v>0.0</v>
      </c>
      <c r="D37" s="52">
        <v>0.0</v>
      </c>
      <c r="E37" s="52">
        <v>0.0</v>
      </c>
      <c r="F37" s="52">
        <v>0.0</v>
      </c>
      <c r="G37" s="37"/>
      <c r="H37" s="37"/>
      <c r="I37" s="37"/>
      <c r="J37" s="37"/>
      <c r="K37" s="37"/>
      <c r="L37" s="37"/>
      <c r="M37" s="37"/>
      <c r="N37" s="37"/>
      <c r="O37" s="37"/>
      <c r="P37" s="37"/>
      <c r="Q37" s="37"/>
      <c r="R37" s="37"/>
      <c r="S37" s="37"/>
      <c r="T37" s="37"/>
      <c r="U37" s="37"/>
      <c r="V37" s="37"/>
      <c r="W37" s="37"/>
      <c r="X37" s="37"/>
      <c r="Y37" s="37"/>
      <c r="Z37" s="37"/>
    </row>
    <row r="38">
      <c r="A38" s="37"/>
      <c r="B38" s="51" t="s">
        <v>179</v>
      </c>
      <c r="C38" s="52">
        <v>0.0</v>
      </c>
      <c r="D38" s="52">
        <v>0.0</v>
      </c>
      <c r="E38" s="52">
        <v>0.0</v>
      </c>
      <c r="F38" s="52">
        <v>376.0</v>
      </c>
      <c r="G38" s="37"/>
      <c r="H38" s="37"/>
      <c r="I38" s="37"/>
      <c r="J38" s="37"/>
      <c r="K38" s="37"/>
      <c r="L38" s="37"/>
      <c r="M38" s="37"/>
      <c r="N38" s="37"/>
      <c r="O38" s="37"/>
      <c r="P38" s="37"/>
      <c r="Q38" s="37"/>
      <c r="R38" s="37"/>
      <c r="S38" s="37"/>
      <c r="T38" s="37"/>
      <c r="U38" s="37"/>
      <c r="V38" s="37"/>
      <c r="W38" s="37"/>
      <c r="X38" s="37"/>
      <c r="Y38" s="37"/>
      <c r="Z38" s="37"/>
    </row>
    <row r="39">
      <c r="A39" s="37"/>
      <c r="B39" s="53" t="s">
        <v>180</v>
      </c>
      <c r="C39" s="52">
        <v>28.4</v>
      </c>
      <c r="D39" s="52">
        <v>41.2</v>
      </c>
      <c r="E39" s="52">
        <v>40.3</v>
      </c>
      <c r="F39" s="52">
        <v>185.0</v>
      </c>
      <c r="G39" s="37"/>
      <c r="H39" s="37"/>
      <c r="I39" s="37"/>
      <c r="J39" s="37"/>
      <c r="K39" s="37"/>
      <c r="L39" s="37"/>
      <c r="M39" s="37"/>
      <c r="N39" s="37"/>
      <c r="O39" s="37"/>
      <c r="P39" s="37"/>
      <c r="Q39" s="37"/>
      <c r="R39" s="37"/>
      <c r="S39" s="37"/>
      <c r="T39" s="37"/>
      <c r="U39" s="37"/>
      <c r="V39" s="37"/>
      <c r="W39" s="37"/>
      <c r="X39" s="37"/>
      <c r="Y39" s="37"/>
      <c r="Z39" s="37"/>
    </row>
    <row r="40">
      <c r="A40" s="37"/>
      <c r="B40" s="55" t="s">
        <v>181</v>
      </c>
      <c r="C40" s="52">
        <v>28.4</v>
      </c>
      <c r="D40" s="52">
        <v>41.2</v>
      </c>
      <c r="E40" s="52">
        <v>40.3</v>
      </c>
      <c r="F40" s="52">
        <v>561.0</v>
      </c>
      <c r="G40" s="37"/>
      <c r="H40" s="37"/>
      <c r="I40" s="37"/>
      <c r="J40" s="37"/>
      <c r="K40" s="37"/>
      <c r="L40" s="37"/>
      <c r="M40" s="37"/>
      <c r="N40" s="37"/>
      <c r="O40" s="37"/>
      <c r="P40" s="37"/>
      <c r="Q40" s="37"/>
      <c r="R40" s="37"/>
      <c r="S40" s="37"/>
      <c r="T40" s="37"/>
      <c r="U40" s="37"/>
      <c r="V40" s="37"/>
      <c r="W40" s="37"/>
      <c r="X40" s="37"/>
      <c r="Y40" s="37"/>
      <c r="Z40" s="37"/>
    </row>
    <row r="41">
      <c r="A41" s="37"/>
      <c r="B41" s="51" t="s">
        <v>182</v>
      </c>
      <c r="C41" s="52">
        <v>274.0</v>
      </c>
      <c r="D41" s="52">
        <v>63.29</v>
      </c>
      <c r="E41" s="52">
        <v>178.0</v>
      </c>
      <c r="F41" s="52">
        <v>120.0</v>
      </c>
      <c r="G41" s="37"/>
      <c r="H41" s="37"/>
      <c r="I41" s="37"/>
      <c r="J41" s="37"/>
      <c r="K41" s="37"/>
      <c r="L41" s="37"/>
      <c r="M41" s="37"/>
      <c r="N41" s="37"/>
      <c r="O41" s="37"/>
      <c r="P41" s="37"/>
      <c r="Q41" s="37"/>
      <c r="R41" s="37"/>
      <c r="S41" s="37"/>
      <c r="T41" s="37"/>
      <c r="U41" s="37"/>
      <c r="V41" s="37"/>
      <c r="W41" s="37"/>
      <c r="X41" s="37"/>
      <c r="Y41" s="37"/>
      <c r="Z41" s="37"/>
    </row>
    <row r="42">
      <c r="A42" s="37"/>
      <c r="B42" s="51" t="s">
        <v>183</v>
      </c>
      <c r="C42" s="52">
        <v>0.0</v>
      </c>
      <c r="D42" s="52">
        <v>0.0</v>
      </c>
      <c r="E42" s="52">
        <v>0.0</v>
      </c>
      <c r="F42" s="52">
        <v>24.0</v>
      </c>
      <c r="G42" s="37"/>
      <c r="H42" s="37"/>
      <c r="I42" s="37"/>
      <c r="J42" s="37"/>
      <c r="K42" s="37"/>
      <c r="L42" s="37"/>
      <c r="M42" s="37"/>
      <c r="N42" s="37"/>
      <c r="O42" s="37"/>
      <c r="P42" s="37"/>
      <c r="Q42" s="37"/>
      <c r="R42" s="37"/>
      <c r="S42" s="37"/>
      <c r="T42" s="37"/>
      <c r="U42" s="37"/>
      <c r="V42" s="37"/>
      <c r="W42" s="37"/>
      <c r="X42" s="37"/>
      <c r="Y42" s="37"/>
      <c r="Z42" s="37"/>
    </row>
    <row r="43">
      <c r="A43" s="37"/>
      <c r="B43" s="51" t="s">
        <v>184</v>
      </c>
      <c r="C43" s="52">
        <v>173.66</v>
      </c>
      <c r="D43" s="52">
        <v>246.74</v>
      </c>
      <c r="E43" s="52">
        <v>277.74</v>
      </c>
      <c r="F43" s="52">
        <v>395.0</v>
      </c>
      <c r="G43" s="37"/>
      <c r="H43" s="37"/>
      <c r="I43" s="37"/>
      <c r="J43" s="37"/>
      <c r="K43" s="37"/>
      <c r="L43" s="37"/>
      <c r="M43" s="37"/>
      <c r="N43" s="37"/>
      <c r="O43" s="37"/>
      <c r="P43" s="37"/>
      <c r="Q43" s="37"/>
      <c r="R43" s="37"/>
      <c r="S43" s="37"/>
      <c r="T43" s="37"/>
      <c r="U43" s="37"/>
      <c r="V43" s="37"/>
      <c r="W43" s="37"/>
      <c r="X43" s="37"/>
      <c r="Y43" s="37"/>
      <c r="Z43" s="37"/>
    </row>
    <row r="44">
      <c r="A44" s="37"/>
      <c r="B44" s="55" t="s">
        <v>185</v>
      </c>
      <c r="C44" s="52">
        <v>447.66</v>
      </c>
      <c r="D44" s="52">
        <v>310.03</v>
      </c>
      <c r="E44" s="52">
        <v>455.74</v>
      </c>
      <c r="F44" s="52">
        <v>539.0</v>
      </c>
      <c r="G44" s="37"/>
      <c r="H44" s="37"/>
      <c r="I44" s="37"/>
      <c r="J44" s="37"/>
      <c r="K44" s="37"/>
      <c r="L44" s="37"/>
      <c r="M44" s="37"/>
      <c r="N44" s="37"/>
      <c r="O44" s="37"/>
      <c r="P44" s="37"/>
      <c r="Q44" s="37"/>
      <c r="R44" s="37"/>
      <c r="S44" s="37"/>
      <c r="T44" s="37"/>
      <c r="U44" s="37"/>
      <c r="V44" s="37"/>
      <c r="W44" s="37"/>
      <c r="X44" s="37"/>
      <c r="Y44" s="37"/>
      <c r="Z44" s="37"/>
    </row>
    <row r="45">
      <c r="A45" s="37"/>
      <c r="B45" s="55" t="s">
        <v>186</v>
      </c>
      <c r="C45" s="52">
        <v>476.06</v>
      </c>
      <c r="D45" s="52">
        <v>351.23</v>
      </c>
      <c r="E45" s="52">
        <v>496.04</v>
      </c>
      <c r="F45" s="52">
        <v>1100.0</v>
      </c>
      <c r="G45" s="37"/>
      <c r="H45" s="37"/>
      <c r="I45" s="37"/>
      <c r="J45" s="37"/>
      <c r="K45" s="37"/>
      <c r="L45" s="37"/>
      <c r="M45" s="37"/>
      <c r="N45" s="37"/>
      <c r="O45" s="37"/>
      <c r="P45" s="37"/>
      <c r="Q45" s="37"/>
      <c r="R45" s="37"/>
      <c r="S45" s="37"/>
      <c r="T45" s="37"/>
      <c r="U45" s="37"/>
      <c r="V45" s="37"/>
      <c r="W45" s="37"/>
      <c r="X45" s="37"/>
      <c r="Y45" s="37"/>
      <c r="Z45" s="37"/>
    </row>
    <row r="46">
      <c r="A46" s="37"/>
      <c r="B46" s="55" t="s">
        <v>187</v>
      </c>
      <c r="C46" s="52">
        <v>490.72</v>
      </c>
      <c r="D46" s="52">
        <v>403.23</v>
      </c>
      <c r="E46" s="52">
        <v>600.84</v>
      </c>
      <c r="F46" s="52">
        <v>1250.04</v>
      </c>
      <c r="G46" s="37"/>
      <c r="H46" s="37"/>
      <c r="I46" s="37"/>
      <c r="J46" s="37"/>
      <c r="K46" s="37"/>
      <c r="L46" s="37"/>
      <c r="M46" s="37"/>
      <c r="N46" s="37"/>
      <c r="O46" s="37"/>
      <c r="P46" s="37"/>
      <c r="Q46" s="37"/>
      <c r="R46" s="37"/>
      <c r="S46" s="37"/>
      <c r="T46" s="37"/>
      <c r="U46" s="37"/>
      <c r="V46" s="37"/>
      <c r="W46" s="37"/>
      <c r="X46" s="37"/>
      <c r="Y46" s="37"/>
      <c r="Z46" s="37"/>
    </row>
    <row r="47">
      <c r="A47" s="37"/>
      <c r="B47" s="56" t="s">
        <v>188</v>
      </c>
      <c r="C47" s="57"/>
      <c r="D47" s="57"/>
      <c r="E47" s="57"/>
      <c r="F47" s="57"/>
      <c r="G47" s="37"/>
      <c r="H47" s="37"/>
      <c r="I47" s="37"/>
      <c r="J47" s="37"/>
      <c r="K47" s="37"/>
      <c r="L47" s="37"/>
      <c r="M47" s="37"/>
      <c r="N47" s="37"/>
      <c r="O47" s="37"/>
      <c r="P47" s="37"/>
      <c r="Q47" s="37"/>
      <c r="R47" s="37"/>
      <c r="S47" s="37"/>
      <c r="T47" s="37"/>
      <c r="U47" s="37"/>
      <c r="V47" s="37"/>
      <c r="W47" s="37"/>
      <c r="X47" s="37"/>
      <c r="Y47" s="37"/>
      <c r="Z47" s="37"/>
    </row>
    <row r="48">
      <c r="A48" s="37"/>
      <c r="B48" s="55" t="s">
        <v>189</v>
      </c>
      <c r="C48" s="52">
        <v>0.0</v>
      </c>
      <c r="D48" s="52">
        <v>0.0</v>
      </c>
      <c r="E48" s="52">
        <v>0.0</v>
      </c>
      <c r="F48" s="52">
        <v>0.0</v>
      </c>
      <c r="G48" s="37"/>
      <c r="H48" s="37"/>
      <c r="I48" s="37"/>
      <c r="J48" s="37"/>
      <c r="K48" s="37"/>
      <c r="L48" s="37"/>
      <c r="M48" s="37"/>
      <c r="N48" s="37"/>
      <c r="O48" s="37"/>
      <c r="P48" s="37"/>
      <c r="Q48" s="37"/>
      <c r="R48" s="37"/>
      <c r="S48" s="37"/>
      <c r="T48" s="37"/>
      <c r="U48" s="37"/>
      <c r="V48" s="37"/>
      <c r="W48" s="37"/>
      <c r="X48" s="37"/>
      <c r="Y48" s="37"/>
      <c r="Z48" s="37"/>
    </row>
    <row r="49">
      <c r="A49" s="37"/>
      <c r="B49" s="53" t="s">
        <v>190</v>
      </c>
      <c r="C49" s="52">
        <v>45.88</v>
      </c>
      <c r="D49" s="52">
        <v>52.0</v>
      </c>
      <c r="E49" s="52">
        <v>61.64</v>
      </c>
      <c r="F49" s="52">
        <v>597.0</v>
      </c>
      <c r="G49" s="37"/>
      <c r="H49" s="37"/>
      <c r="I49" s="37"/>
      <c r="J49" s="37"/>
      <c r="K49" s="37"/>
      <c r="L49" s="37"/>
      <c r="M49" s="37"/>
      <c r="N49" s="37"/>
      <c r="O49" s="37"/>
      <c r="P49" s="37"/>
      <c r="Q49" s="37"/>
      <c r="R49" s="37"/>
      <c r="S49" s="37"/>
      <c r="T49" s="37"/>
      <c r="U49" s="37"/>
      <c r="V49" s="37"/>
      <c r="W49" s="37"/>
      <c r="X49" s="37"/>
      <c r="Y49" s="37"/>
      <c r="Z49" s="37"/>
    </row>
    <row r="50">
      <c r="A50" s="37"/>
      <c r="B50" s="51" t="s">
        <v>191</v>
      </c>
      <c r="C50" s="52">
        <v>2.0</v>
      </c>
      <c r="D50" s="52">
        <v>2.48</v>
      </c>
      <c r="E50" s="52">
        <v>4.91</v>
      </c>
      <c r="F50" s="52">
        <v>8.91</v>
      </c>
      <c r="G50" s="37"/>
      <c r="H50" s="37"/>
      <c r="I50" s="37"/>
      <c r="J50" s="37"/>
      <c r="K50" s="37"/>
      <c r="L50" s="37"/>
      <c r="M50" s="37"/>
      <c r="N50" s="37"/>
      <c r="O50" s="37"/>
      <c r="P50" s="37"/>
      <c r="Q50" s="37"/>
      <c r="R50" s="37"/>
      <c r="S50" s="37"/>
      <c r="T50" s="37"/>
      <c r="U50" s="37"/>
      <c r="V50" s="37"/>
      <c r="W50" s="37"/>
      <c r="X50" s="37"/>
      <c r="Y50" s="37"/>
      <c r="Z50" s="37"/>
    </row>
    <row r="51">
      <c r="A51" s="37"/>
      <c r="B51" s="58" t="s">
        <v>192</v>
      </c>
      <c r="C51" s="52">
        <v>43.88</v>
      </c>
      <c r="D51" s="52">
        <v>49.52</v>
      </c>
      <c r="E51" s="52">
        <v>56.73</v>
      </c>
      <c r="F51" s="52">
        <v>588.09</v>
      </c>
      <c r="G51" s="37"/>
      <c r="H51" s="37"/>
      <c r="I51" s="37"/>
      <c r="J51" s="37"/>
      <c r="K51" s="37"/>
      <c r="L51" s="37"/>
      <c r="M51" s="37"/>
      <c r="N51" s="37"/>
      <c r="O51" s="37"/>
      <c r="P51" s="37"/>
      <c r="Q51" s="37"/>
      <c r="R51" s="37"/>
      <c r="S51" s="37"/>
      <c r="T51" s="37"/>
      <c r="U51" s="37"/>
      <c r="V51" s="37"/>
      <c r="W51" s="37"/>
      <c r="X51" s="37"/>
      <c r="Y51" s="37"/>
      <c r="Z51" s="37"/>
    </row>
    <row r="52">
      <c r="A52" s="37"/>
      <c r="B52" s="51" t="s">
        <v>193</v>
      </c>
      <c r="C52" s="52">
        <v>0.0</v>
      </c>
      <c r="D52" s="52">
        <v>0.0</v>
      </c>
      <c r="E52" s="52">
        <v>0.0</v>
      </c>
      <c r="F52" s="52">
        <v>0.0</v>
      </c>
      <c r="G52" s="37"/>
      <c r="H52" s="37"/>
      <c r="I52" s="37"/>
      <c r="J52" s="37"/>
      <c r="K52" s="37"/>
      <c r="L52" s="37"/>
      <c r="M52" s="37"/>
      <c r="N52" s="37"/>
      <c r="O52" s="37"/>
      <c r="P52" s="37"/>
      <c r="Q52" s="37"/>
      <c r="R52" s="37"/>
      <c r="S52" s="37"/>
      <c r="T52" s="37"/>
      <c r="U52" s="37"/>
      <c r="V52" s="37"/>
      <c r="W52" s="37"/>
      <c r="X52" s="37"/>
      <c r="Y52" s="37"/>
      <c r="Z52" s="37"/>
    </row>
    <row r="53">
      <c r="A53" s="37"/>
      <c r="B53" s="51" t="s">
        <v>194</v>
      </c>
      <c r="C53" s="52">
        <v>5.3</v>
      </c>
      <c r="D53" s="52">
        <v>25.96</v>
      </c>
      <c r="E53" s="52">
        <v>57.31</v>
      </c>
      <c r="F53" s="52">
        <v>7.0</v>
      </c>
      <c r="G53" s="37"/>
      <c r="H53" s="37"/>
      <c r="I53" s="37"/>
      <c r="J53" s="37"/>
      <c r="K53" s="37"/>
      <c r="L53" s="37"/>
      <c r="M53" s="37"/>
      <c r="N53" s="37"/>
      <c r="O53" s="37"/>
      <c r="P53" s="37"/>
      <c r="Q53" s="37"/>
      <c r="R53" s="37"/>
      <c r="S53" s="37"/>
      <c r="T53" s="37"/>
      <c r="U53" s="37"/>
      <c r="V53" s="37"/>
      <c r="W53" s="37"/>
      <c r="X53" s="37"/>
      <c r="Y53" s="37"/>
      <c r="Z53" s="37"/>
    </row>
    <row r="54">
      <c r="A54" s="37"/>
      <c r="B54" s="55" t="s">
        <v>195</v>
      </c>
      <c r="C54" s="52">
        <v>5.3</v>
      </c>
      <c r="D54" s="52">
        <v>25.96</v>
      </c>
      <c r="E54" s="52">
        <v>57.31</v>
      </c>
      <c r="F54" s="52">
        <v>7.0</v>
      </c>
      <c r="G54" s="37"/>
      <c r="H54" s="37"/>
      <c r="I54" s="37"/>
      <c r="J54" s="37"/>
      <c r="K54" s="37"/>
      <c r="L54" s="37"/>
      <c r="M54" s="37"/>
      <c r="N54" s="37"/>
      <c r="O54" s="37"/>
      <c r="P54" s="37"/>
      <c r="Q54" s="37"/>
      <c r="R54" s="37"/>
      <c r="S54" s="37"/>
      <c r="T54" s="37"/>
      <c r="U54" s="37"/>
      <c r="V54" s="37"/>
      <c r="W54" s="37"/>
      <c r="X54" s="37"/>
      <c r="Y54" s="37"/>
      <c r="Z54" s="37"/>
    </row>
    <row r="55">
      <c r="A55" s="37"/>
      <c r="B55" s="58" t="s">
        <v>196</v>
      </c>
      <c r="C55" s="52">
        <v>0.0</v>
      </c>
      <c r="D55" s="52">
        <v>0.0</v>
      </c>
      <c r="E55" s="52">
        <v>0.0</v>
      </c>
      <c r="F55" s="52">
        <v>0.0</v>
      </c>
      <c r="G55" s="37"/>
      <c r="H55" s="37"/>
      <c r="I55" s="37"/>
      <c r="J55" s="37"/>
      <c r="K55" s="37"/>
      <c r="L55" s="37"/>
      <c r="M55" s="37"/>
      <c r="N55" s="37"/>
      <c r="O55" s="37"/>
      <c r="P55" s="37"/>
      <c r="Q55" s="37"/>
      <c r="R55" s="37"/>
      <c r="S55" s="37"/>
      <c r="T55" s="37"/>
      <c r="U55" s="37"/>
      <c r="V55" s="37"/>
      <c r="W55" s="37"/>
      <c r="X55" s="37"/>
      <c r="Y55" s="37"/>
      <c r="Z55" s="37"/>
    </row>
    <row r="56">
      <c r="A56" s="37"/>
      <c r="B56" s="51" t="s">
        <v>197</v>
      </c>
      <c r="C56" s="52">
        <v>12.0</v>
      </c>
      <c r="D56" s="52">
        <v>9.06</v>
      </c>
      <c r="E56" s="52">
        <v>7.61</v>
      </c>
      <c r="F56" s="52">
        <v>10.0</v>
      </c>
      <c r="G56" s="37"/>
      <c r="H56" s="37"/>
      <c r="I56" s="37"/>
      <c r="J56" s="37"/>
      <c r="K56" s="37"/>
      <c r="L56" s="37"/>
      <c r="M56" s="37"/>
      <c r="N56" s="37"/>
      <c r="O56" s="37"/>
      <c r="P56" s="37"/>
      <c r="Q56" s="37"/>
      <c r="R56" s="37"/>
      <c r="S56" s="37"/>
      <c r="T56" s="37"/>
      <c r="U56" s="37"/>
      <c r="V56" s="37"/>
      <c r="W56" s="37"/>
      <c r="X56" s="37"/>
      <c r="Y56" s="37"/>
      <c r="Z56" s="37"/>
    </row>
    <row r="57">
      <c r="A57" s="37"/>
      <c r="B57" s="51" t="s">
        <v>198</v>
      </c>
      <c r="C57" s="52">
        <v>72.0</v>
      </c>
      <c r="D57" s="52">
        <v>63.0</v>
      </c>
      <c r="E57" s="52">
        <v>181.0</v>
      </c>
      <c r="F57" s="52">
        <v>230.0</v>
      </c>
      <c r="G57" s="37"/>
      <c r="H57" s="37"/>
      <c r="I57" s="37"/>
      <c r="J57" s="37"/>
      <c r="K57" s="37"/>
      <c r="L57" s="37"/>
      <c r="M57" s="37"/>
      <c r="N57" s="37"/>
      <c r="O57" s="37"/>
      <c r="P57" s="37"/>
      <c r="Q57" s="37"/>
      <c r="R57" s="37"/>
      <c r="S57" s="37"/>
      <c r="T57" s="37"/>
      <c r="U57" s="37"/>
      <c r="V57" s="37"/>
      <c r="W57" s="37"/>
      <c r="X57" s="37"/>
      <c r="Y57" s="37"/>
      <c r="Z57" s="37"/>
    </row>
    <row r="58">
      <c r="A58" s="37"/>
      <c r="B58" s="53" t="s">
        <v>199</v>
      </c>
      <c r="C58" s="52">
        <v>294.0</v>
      </c>
      <c r="D58" s="52">
        <v>207.7</v>
      </c>
      <c r="E58" s="52">
        <v>238.86</v>
      </c>
      <c r="F58" s="52">
        <v>310.0</v>
      </c>
      <c r="G58" s="37"/>
      <c r="H58" s="37"/>
      <c r="I58" s="37"/>
      <c r="J58" s="37"/>
      <c r="K58" s="37"/>
      <c r="L58" s="37"/>
      <c r="M58" s="37"/>
      <c r="N58" s="37"/>
      <c r="O58" s="37"/>
      <c r="P58" s="37"/>
      <c r="Q58" s="37"/>
      <c r="R58" s="37"/>
      <c r="S58" s="37"/>
      <c r="T58" s="37"/>
      <c r="U58" s="37"/>
      <c r="V58" s="37"/>
      <c r="W58" s="37"/>
      <c r="X58" s="37"/>
      <c r="Y58" s="37"/>
      <c r="Z58" s="37"/>
    </row>
    <row r="59">
      <c r="A59" s="37"/>
      <c r="B59" s="53" t="s">
        <v>200</v>
      </c>
      <c r="C59" s="52">
        <v>63.58</v>
      </c>
      <c r="D59" s="52">
        <v>48.42</v>
      </c>
      <c r="E59" s="52">
        <v>58.95</v>
      </c>
      <c r="F59" s="52">
        <v>105.0</v>
      </c>
      <c r="G59" s="37"/>
      <c r="H59" s="37"/>
      <c r="I59" s="37"/>
      <c r="J59" s="37"/>
      <c r="K59" s="37"/>
      <c r="L59" s="37"/>
      <c r="M59" s="37"/>
      <c r="N59" s="37"/>
      <c r="O59" s="37"/>
      <c r="P59" s="37"/>
      <c r="Q59" s="37"/>
      <c r="R59" s="37"/>
      <c r="S59" s="37"/>
      <c r="T59" s="37"/>
      <c r="U59" s="37"/>
      <c r="V59" s="37"/>
      <c r="W59" s="37"/>
      <c r="X59" s="37"/>
      <c r="Y59" s="37"/>
      <c r="Z59" s="37"/>
    </row>
    <row r="60">
      <c r="A60" s="37"/>
      <c r="B60" s="55" t="s">
        <v>201</v>
      </c>
      <c r="C60" s="52">
        <v>441.58</v>
      </c>
      <c r="D60" s="52">
        <v>328.18</v>
      </c>
      <c r="E60" s="52">
        <v>486.42</v>
      </c>
      <c r="F60" s="52">
        <v>655.0</v>
      </c>
      <c r="G60" s="37"/>
      <c r="H60" s="37"/>
      <c r="I60" s="37"/>
      <c r="J60" s="37"/>
      <c r="K60" s="37"/>
      <c r="L60" s="37"/>
      <c r="M60" s="37"/>
      <c r="N60" s="37"/>
      <c r="O60" s="37"/>
      <c r="P60" s="37"/>
      <c r="Q60" s="37"/>
      <c r="R60" s="37"/>
      <c r="S60" s="37"/>
      <c r="T60" s="37"/>
      <c r="U60" s="37"/>
      <c r="V60" s="37"/>
      <c r="W60" s="37"/>
      <c r="X60" s="37"/>
      <c r="Y60" s="37"/>
      <c r="Z60" s="37"/>
    </row>
    <row r="61">
      <c r="A61" s="37"/>
      <c r="B61" s="55" t="s">
        <v>202</v>
      </c>
      <c r="C61" s="52">
        <v>490.76</v>
      </c>
      <c r="D61" s="52">
        <v>403.66</v>
      </c>
      <c r="E61" s="52">
        <v>600.46</v>
      </c>
      <c r="F61" s="52">
        <v>1250.09</v>
      </c>
      <c r="G61" s="37"/>
      <c r="H61" s="37"/>
      <c r="I61" s="37"/>
      <c r="J61" s="37"/>
      <c r="K61" s="37"/>
      <c r="L61" s="37"/>
      <c r="M61" s="37"/>
      <c r="N61" s="37"/>
      <c r="O61" s="37"/>
      <c r="P61" s="37"/>
      <c r="Q61" s="37"/>
      <c r="R61" s="37"/>
      <c r="S61" s="37"/>
      <c r="T61" s="37"/>
      <c r="U61" s="37"/>
      <c r="V61" s="37"/>
      <c r="W61" s="37"/>
      <c r="X61" s="37"/>
      <c r="Y61" s="37"/>
      <c r="Z61" s="37"/>
    </row>
    <row r="62">
      <c r="A62" s="37"/>
      <c r="B62" s="55" t="s">
        <v>203</v>
      </c>
      <c r="C62" s="52">
        <v>0.04</v>
      </c>
      <c r="D62" s="52">
        <v>0.43</v>
      </c>
      <c r="E62" s="52">
        <v>-0.38</v>
      </c>
      <c r="F62" s="52">
        <v>0.05</v>
      </c>
      <c r="G62" s="37"/>
      <c r="H62" s="37"/>
      <c r="I62" s="37"/>
      <c r="J62" s="37"/>
      <c r="K62" s="37"/>
      <c r="L62" s="37"/>
      <c r="M62" s="37"/>
      <c r="N62" s="37"/>
      <c r="O62" s="37"/>
      <c r="P62" s="37"/>
      <c r="Q62" s="37"/>
      <c r="R62" s="37"/>
      <c r="S62" s="37"/>
      <c r="T62" s="37"/>
      <c r="U62" s="37"/>
      <c r="V62" s="37"/>
      <c r="W62" s="37"/>
      <c r="X62" s="37"/>
      <c r="Y62" s="37"/>
      <c r="Z62" s="37"/>
    </row>
    <row r="63">
      <c r="A63" s="37"/>
      <c r="B63" s="55" t="s">
        <v>204</v>
      </c>
      <c r="C63" s="52">
        <v>14.66</v>
      </c>
      <c r="D63" s="52">
        <v>52.0</v>
      </c>
      <c r="E63" s="52">
        <v>104.8</v>
      </c>
      <c r="F63" s="52">
        <v>150.04</v>
      </c>
      <c r="G63" s="37"/>
      <c r="H63" s="37"/>
      <c r="I63" s="37"/>
      <c r="J63" s="37"/>
      <c r="K63" s="37"/>
      <c r="L63" s="37"/>
      <c r="M63" s="37"/>
      <c r="N63" s="37"/>
      <c r="O63" s="37"/>
      <c r="P63" s="37"/>
      <c r="Q63" s="37"/>
      <c r="R63" s="37"/>
      <c r="S63" s="37"/>
      <c r="T63" s="37"/>
      <c r="U63" s="37"/>
      <c r="V63" s="37"/>
      <c r="W63" s="37"/>
      <c r="X63" s="37"/>
      <c r="Y63" s="37"/>
      <c r="Z63" s="37"/>
    </row>
    <row r="64">
      <c r="A64" s="37"/>
      <c r="B64" s="55" t="s">
        <v>205</v>
      </c>
      <c r="C64" s="52">
        <v>14.66</v>
      </c>
      <c r="D64" s="52">
        <v>52.0</v>
      </c>
      <c r="E64" s="52">
        <v>104.8</v>
      </c>
      <c r="F64" s="52">
        <v>150.04</v>
      </c>
      <c r="G64" s="37"/>
      <c r="H64" s="37"/>
      <c r="I64" s="37"/>
      <c r="J64" s="37"/>
      <c r="K64" s="37"/>
      <c r="L64" s="37"/>
      <c r="M64" s="37"/>
      <c r="N64" s="37"/>
      <c r="O64" s="37"/>
      <c r="P64" s="37"/>
      <c r="Q64" s="37"/>
      <c r="R64" s="37"/>
      <c r="S64" s="37"/>
      <c r="T64" s="37"/>
      <c r="U64" s="37"/>
      <c r="V64" s="37"/>
      <c r="W64" s="37"/>
      <c r="X64" s="37"/>
      <c r="Y64" s="37"/>
      <c r="Z64" s="37"/>
    </row>
    <row r="65">
      <c r="A65" s="37"/>
      <c r="B65" s="59"/>
      <c r="C65" s="54"/>
      <c r="D65" s="54"/>
      <c r="E65" s="54"/>
      <c r="F65" s="54"/>
      <c r="G65" s="37"/>
      <c r="H65" s="37"/>
      <c r="I65" s="37"/>
      <c r="J65" s="37"/>
      <c r="K65" s="37"/>
      <c r="L65" s="37"/>
      <c r="M65" s="37"/>
      <c r="N65" s="37"/>
      <c r="O65" s="37"/>
      <c r="P65" s="37"/>
      <c r="Q65" s="37"/>
      <c r="R65" s="37"/>
      <c r="S65" s="37"/>
      <c r="T65" s="37"/>
      <c r="U65" s="37"/>
      <c r="V65" s="37"/>
      <c r="W65" s="37"/>
      <c r="X65" s="37"/>
      <c r="Y65" s="37"/>
      <c r="Z65" s="37"/>
    </row>
    <row r="66">
      <c r="A66" s="37"/>
      <c r="B66" s="59"/>
      <c r="C66" s="54"/>
      <c r="D66" s="54"/>
      <c r="E66" s="54"/>
      <c r="F66" s="54"/>
      <c r="G66" s="37"/>
      <c r="H66" s="37"/>
      <c r="I66" s="37"/>
      <c r="J66" s="37"/>
      <c r="K66" s="37"/>
      <c r="L66" s="37"/>
      <c r="M66" s="37"/>
      <c r="N66" s="37"/>
      <c r="O66" s="37"/>
      <c r="P66" s="37"/>
      <c r="Q66" s="37"/>
      <c r="R66" s="37"/>
      <c r="S66" s="37"/>
      <c r="T66" s="37"/>
      <c r="U66" s="37"/>
      <c r="V66" s="37"/>
      <c r="W66" s="37"/>
      <c r="X66" s="37"/>
      <c r="Y66" s="37"/>
      <c r="Z66" s="37"/>
    </row>
  </sheetData>
  <mergeCells count="2">
    <mergeCell ref="A1:F1"/>
    <mergeCell ref="C4:F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2" width="26.13"/>
  </cols>
  <sheetData>
    <row r="1">
      <c r="A1" s="60"/>
      <c r="B1" s="1" t="s">
        <v>206</v>
      </c>
      <c r="C1" s="2"/>
      <c r="D1" s="2"/>
      <c r="E1" s="2"/>
      <c r="F1" s="2"/>
      <c r="G1" s="3"/>
    </row>
    <row r="3">
      <c r="B3" s="61" t="s">
        <v>207</v>
      </c>
      <c r="C3" s="62" t="s">
        <v>152</v>
      </c>
      <c r="D3" s="62" t="s">
        <v>152</v>
      </c>
      <c r="E3" s="62" t="s">
        <v>152</v>
      </c>
      <c r="F3" s="62" t="s">
        <v>208</v>
      </c>
      <c r="G3" s="62" t="s">
        <v>153</v>
      </c>
    </row>
    <row r="4">
      <c r="B4" s="63"/>
      <c r="C4" s="64" t="s">
        <v>209</v>
      </c>
      <c r="D4" s="64" t="s">
        <v>210</v>
      </c>
      <c r="E4" s="64" t="s">
        <v>211</v>
      </c>
      <c r="F4" s="64" t="s">
        <v>212</v>
      </c>
      <c r="G4" s="64" t="s">
        <v>213</v>
      </c>
    </row>
    <row r="5">
      <c r="B5" s="65" t="s">
        <v>156</v>
      </c>
      <c r="C5" s="66">
        <v>10.34</v>
      </c>
      <c r="D5" s="66">
        <v>9.37</v>
      </c>
      <c r="E5" s="66">
        <v>12.18</v>
      </c>
      <c r="F5" s="66">
        <v>17.5</v>
      </c>
      <c r="G5" s="66">
        <v>22.0</v>
      </c>
    </row>
    <row r="6">
      <c r="B6" s="65" t="s">
        <v>214</v>
      </c>
      <c r="C6" s="66">
        <v>0.3</v>
      </c>
      <c r="D6" s="66">
        <v>0.31</v>
      </c>
      <c r="E6" s="66">
        <v>0.37</v>
      </c>
      <c r="F6" s="66">
        <v>0.45</v>
      </c>
      <c r="G6" s="66">
        <v>0.48</v>
      </c>
    </row>
    <row r="7">
      <c r="A7" s="67"/>
      <c r="B7" s="65" t="s">
        <v>173</v>
      </c>
      <c r="C7" s="66">
        <v>0.32</v>
      </c>
      <c r="D7" s="66">
        <v>0.34</v>
      </c>
      <c r="E7" s="66">
        <v>0.42</v>
      </c>
      <c r="F7" s="66">
        <v>0.49</v>
      </c>
      <c r="G7" s="66">
        <v>0.88</v>
      </c>
    </row>
    <row r="8">
      <c r="A8" s="67"/>
      <c r="B8" s="65" t="s">
        <v>215</v>
      </c>
      <c r="C8" s="66">
        <v>0.04</v>
      </c>
      <c r="D8" s="66">
        <v>0.05</v>
      </c>
      <c r="E8" s="66">
        <v>0.05</v>
      </c>
      <c r="F8" s="66">
        <v>0.05</v>
      </c>
      <c r="G8" s="66">
        <v>0.06</v>
      </c>
    </row>
    <row r="9">
      <c r="A9" s="67"/>
      <c r="B9" s="68" t="s">
        <v>216</v>
      </c>
      <c r="C9" s="69">
        <v>0.0218</v>
      </c>
      <c r="D9" s="69">
        <v>0.0203</v>
      </c>
      <c r="E9" s="69">
        <v>0.0253</v>
      </c>
      <c r="F9" s="69">
        <v>0.031</v>
      </c>
      <c r="G9" s="69">
        <v>0.0354</v>
      </c>
    </row>
    <row r="10">
      <c r="A10" s="67"/>
      <c r="B10" s="65" t="s">
        <v>217</v>
      </c>
      <c r="C10" s="66">
        <v>0.15</v>
      </c>
      <c r="D10" s="66">
        <v>0.52</v>
      </c>
      <c r="E10" s="66">
        <v>1.05</v>
      </c>
      <c r="F10" s="66">
        <v>1.5</v>
      </c>
      <c r="G10" s="66">
        <v>1.98</v>
      </c>
    </row>
    <row r="11">
      <c r="A11" s="67"/>
      <c r="B11" s="68" t="s">
        <v>218</v>
      </c>
      <c r="C11" s="70">
        <v>4.01</v>
      </c>
      <c r="D11" s="70">
        <v>4.97</v>
      </c>
      <c r="E11" s="70">
        <v>6.12</v>
      </c>
      <c r="F11" s="70">
        <v>7.53</v>
      </c>
      <c r="G11" s="70">
        <v>9.24</v>
      </c>
    </row>
    <row r="12">
      <c r="A12" s="67"/>
      <c r="B12" s="65" t="s">
        <v>219</v>
      </c>
      <c r="C12" s="66">
        <v>0.88</v>
      </c>
      <c r="D12" s="66">
        <v>1.23</v>
      </c>
      <c r="E12" s="66">
        <v>0.96</v>
      </c>
      <c r="F12" s="66">
        <v>11.88</v>
      </c>
      <c r="G12" s="66">
        <v>6.38</v>
      </c>
    </row>
    <row r="13">
      <c r="A13" s="67"/>
      <c r="B13" s="65" t="s">
        <v>220</v>
      </c>
      <c r="C13" s="66">
        <v>32.47</v>
      </c>
      <c r="D13" s="66">
        <v>6.75</v>
      </c>
      <c r="E13" s="66">
        <v>4.73</v>
      </c>
      <c r="F13" s="66">
        <v>7.33</v>
      </c>
      <c r="G13" s="66">
        <v>5.81</v>
      </c>
    </row>
    <row r="14">
      <c r="A14" s="67"/>
      <c r="B14" s="65" t="s">
        <v>221</v>
      </c>
      <c r="C14" s="66">
        <v>0.99</v>
      </c>
      <c r="D14" s="66">
        <v>1.06</v>
      </c>
      <c r="E14" s="66">
        <v>1.07</v>
      </c>
      <c r="F14" s="66">
        <v>1.22</v>
      </c>
      <c r="G14" s="66">
        <v>1.23</v>
      </c>
    </row>
    <row r="15">
      <c r="A15" s="67"/>
      <c r="B15" s="65" t="s">
        <v>222</v>
      </c>
      <c r="C15" s="66">
        <v>0.99</v>
      </c>
      <c r="D15" s="66">
        <v>1.06</v>
      </c>
      <c r="E15" s="66">
        <v>1.07</v>
      </c>
      <c r="F15" s="66">
        <v>1.27</v>
      </c>
      <c r="G15" s="66">
        <v>1.35</v>
      </c>
    </row>
    <row r="16">
      <c r="A16" s="67"/>
      <c r="B16" s="65" t="s">
        <v>223</v>
      </c>
      <c r="C16" s="66">
        <v>6.59</v>
      </c>
      <c r="D16" s="66">
        <v>3.8</v>
      </c>
      <c r="E16" s="66">
        <v>3.23</v>
      </c>
      <c r="F16" s="66">
        <v>2.42</v>
      </c>
      <c r="G16" s="66">
        <v>2.6</v>
      </c>
    </row>
    <row r="17">
      <c r="A17" s="67"/>
      <c r="B17" s="65" t="s">
        <v>224</v>
      </c>
      <c r="C17" s="66">
        <v>6.46</v>
      </c>
      <c r="D17" s="66" t="s">
        <v>225</v>
      </c>
      <c r="E17" s="66" t="s">
        <v>225</v>
      </c>
      <c r="F17" s="66" t="s">
        <v>225</v>
      </c>
      <c r="G17" s="66">
        <v>2.16</v>
      </c>
    </row>
    <row r="18">
      <c r="B18" s="65" t="s">
        <v>226</v>
      </c>
      <c r="C18" s="66">
        <v>0.1357</v>
      </c>
      <c r="D18" s="66">
        <v>0.1329</v>
      </c>
      <c r="E18" s="66">
        <v>0.1551</v>
      </c>
      <c r="F18" s="66">
        <v>0.1751</v>
      </c>
      <c r="G18" s="66">
        <v>0.1908</v>
      </c>
    </row>
    <row r="19">
      <c r="A19" s="71"/>
      <c r="B19" s="65" t="s">
        <v>227</v>
      </c>
      <c r="C19" s="66">
        <v>53.09</v>
      </c>
      <c r="D19" s="66">
        <v>69.2</v>
      </c>
      <c r="E19" s="66">
        <v>73.7</v>
      </c>
      <c r="F19" s="66">
        <v>74.96</v>
      </c>
      <c r="G19" s="66">
        <v>74.52</v>
      </c>
    </row>
    <row r="20">
      <c r="B20" s="65" t="s">
        <v>228</v>
      </c>
      <c r="C20" s="66">
        <v>50.6</v>
      </c>
      <c r="D20" s="66">
        <v>47.15</v>
      </c>
      <c r="E20" s="66">
        <v>47.03</v>
      </c>
      <c r="F20" s="66">
        <v>47.58</v>
      </c>
      <c r="G20" s="66">
        <v>47.45</v>
      </c>
    </row>
    <row r="21">
      <c r="B21" s="65" t="s">
        <v>229</v>
      </c>
      <c r="C21" s="66">
        <v>26.97</v>
      </c>
      <c r="D21" s="66">
        <v>34.58</v>
      </c>
      <c r="E21" s="66">
        <v>39.11</v>
      </c>
      <c r="F21" s="66">
        <v>39.71</v>
      </c>
      <c r="G21" s="66">
        <v>37.13</v>
      </c>
    </row>
    <row r="23">
      <c r="A23" s="72"/>
    </row>
    <row r="24">
      <c r="A24" s="72"/>
    </row>
    <row r="25">
      <c r="A25" s="72"/>
    </row>
    <row r="26">
      <c r="A26" s="72"/>
    </row>
    <row r="27">
      <c r="A27" s="72"/>
    </row>
    <row r="28">
      <c r="A28" s="72"/>
    </row>
  </sheetData>
  <mergeCells count="1">
    <mergeCell ref="B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36.0"/>
  </cols>
  <sheetData>
    <row r="1">
      <c r="A1" s="12" t="s">
        <v>230</v>
      </c>
      <c r="B1" s="2"/>
      <c r="C1" s="2"/>
      <c r="D1" s="2"/>
      <c r="E1" s="3"/>
    </row>
    <row r="2">
      <c r="C2" s="71"/>
      <c r="D2" s="71"/>
    </row>
    <row r="3">
      <c r="B3" s="73" t="s">
        <v>231</v>
      </c>
      <c r="C3" s="73" t="s">
        <v>232</v>
      </c>
      <c r="D3" s="73" t="s">
        <v>233</v>
      </c>
    </row>
    <row r="4">
      <c r="B4" s="34" t="s">
        <v>234</v>
      </c>
      <c r="C4" s="30">
        <v>14.1068</v>
      </c>
      <c r="D4" s="30">
        <v>14.1805671</v>
      </c>
    </row>
    <row r="5">
      <c r="B5" s="34" t="s">
        <v>235</v>
      </c>
      <c r="C5" s="30">
        <v>96.87</v>
      </c>
      <c r="D5" s="30">
        <v>16.74</v>
      </c>
    </row>
    <row r="6">
      <c r="B6" s="34" t="s">
        <v>236</v>
      </c>
      <c r="C6" s="30">
        <v>-0.26</v>
      </c>
      <c r="D6" s="30">
        <v>1.7850000000000001</v>
      </c>
    </row>
    <row r="7">
      <c r="B7" s="34" t="s">
        <v>237</v>
      </c>
      <c r="C7" s="30">
        <v>-2.97</v>
      </c>
      <c r="D7" s="30">
        <v>0.61</v>
      </c>
    </row>
    <row r="8">
      <c r="B8" s="34" t="s">
        <v>238</v>
      </c>
      <c r="C8" s="30" t="s">
        <v>94</v>
      </c>
      <c r="D8" s="30">
        <v>15.175</v>
      </c>
    </row>
    <row r="9">
      <c r="B9" s="34" t="s">
        <v>239</v>
      </c>
      <c r="C9" s="30" t="s">
        <v>94</v>
      </c>
      <c r="D9" s="30">
        <v>2.325</v>
      </c>
    </row>
    <row r="10">
      <c r="B10" s="34" t="s">
        <v>240</v>
      </c>
      <c r="C10" s="30">
        <v>125.18</v>
      </c>
      <c r="D10" s="30">
        <v>49.645</v>
      </c>
    </row>
    <row r="11">
      <c r="B11" s="34" t="s">
        <v>241</v>
      </c>
      <c r="C11" s="30">
        <v>18.38</v>
      </c>
      <c r="D11" s="30">
        <v>20.305</v>
      </c>
    </row>
    <row r="12">
      <c r="B12" s="34" t="s">
        <v>242</v>
      </c>
      <c r="C12" s="30">
        <v>22.33</v>
      </c>
      <c r="D12" s="30">
        <v>21.08</v>
      </c>
    </row>
    <row r="13">
      <c r="B13" s="34" t="s">
        <v>243</v>
      </c>
      <c r="C13" s="30">
        <v>121.23</v>
      </c>
      <c r="D13" s="30">
        <v>73.195</v>
      </c>
    </row>
    <row r="14">
      <c r="B14" s="34" t="s">
        <v>244</v>
      </c>
      <c r="C14" s="30">
        <v>21.55</v>
      </c>
      <c r="D14" s="30">
        <v>15.335</v>
      </c>
    </row>
    <row r="18">
      <c r="B18" s="74" t="s">
        <v>245</v>
      </c>
      <c r="C18" s="28"/>
      <c r="D18" s="28"/>
      <c r="E18" s="28"/>
    </row>
    <row r="19">
      <c r="B19" s="73" t="s">
        <v>246</v>
      </c>
      <c r="C19" s="73" t="s">
        <v>247</v>
      </c>
      <c r="D19" s="73" t="s">
        <v>248</v>
      </c>
    </row>
    <row r="20">
      <c r="B20" s="34" t="s">
        <v>249</v>
      </c>
      <c r="C20" s="34" t="s">
        <v>250</v>
      </c>
      <c r="D20" s="36">
        <v>1.4144796549E8</v>
      </c>
    </row>
    <row r="21">
      <c r="B21" s="34" t="s">
        <v>251</v>
      </c>
      <c r="C21" s="34" t="s">
        <v>252</v>
      </c>
      <c r="D21" s="36">
        <v>1.41364128E8</v>
      </c>
    </row>
    <row r="22">
      <c r="B22" s="34" t="s">
        <v>59</v>
      </c>
      <c r="C22" s="34" t="s">
        <v>253</v>
      </c>
      <c r="D22" s="36">
        <v>1.41068E8</v>
      </c>
    </row>
    <row r="23">
      <c r="B23" s="34" t="s">
        <v>254</v>
      </c>
      <c r="C23" s="34" t="s">
        <v>255</v>
      </c>
      <c r="D23" s="36">
        <v>1.4100872343E8</v>
      </c>
    </row>
    <row r="24">
      <c r="B24" s="34" t="s">
        <v>256</v>
      </c>
      <c r="C24" s="34" t="s">
        <v>257</v>
      </c>
      <c r="D24" s="36">
        <v>1.40835391E8</v>
      </c>
    </row>
  </sheetData>
  <mergeCells count="1">
    <mergeCell ref="A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
    <col customWidth="1" min="2" max="2" width="34.5"/>
    <col customWidth="1" min="3" max="3" width="8.38"/>
    <col customWidth="1" min="4" max="4" width="4.13"/>
    <col customWidth="1" min="5" max="5" width="7.38"/>
    <col customWidth="1" min="6" max="6" width="11.25"/>
    <col customWidth="1" min="7" max="7" width="18.75"/>
    <col customWidth="1" min="9" max="9" width="14.75"/>
    <col customWidth="1" min="10" max="10" width="18.13"/>
  </cols>
  <sheetData>
    <row r="1">
      <c r="A1" s="12" t="s">
        <v>258</v>
      </c>
      <c r="B1" s="2"/>
      <c r="C1" s="2"/>
      <c r="D1" s="2"/>
      <c r="E1" s="2"/>
      <c r="F1" s="2"/>
      <c r="G1" s="2"/>
      <c r="H1" s="2"/>
      <c r="I1" s="2"/>
      <c r="J1" s="2"/>
      <c r="K1" s="3"/>
    </row>
    <row r="2">
      <c r="B2" s="75"/>
      <c r="C2" s="75"/>
      <c r="D2" s="75"/>
      <c r="E2" s="75"/>
      <c r="F2" s="75"/>
      <c r="G2" s="75"/>
      <c r="H2" s="75"/>
      <c r="I2" s="75"/>
      <c r="J2" s="75"/>
      <c r="K2" s="75"/>
    </row>
    <row r="3">
      <c r="B3" s="76" t="s">
        <v>259</v>
      </c>
      <c r="C3" s="76" t="s">
        <v>130</v>
      </c>
      <c r="D3" s="76" t="s">
        <v>260</v>
      </c>
      <c r="E3" s="76" t="s">
        <v>261</v>
      </c>
      <c r="F3" s="76" t="s">
        <v>262</v>
      </c>
      <c r="G3" s="76" t="s">
        <v>263</v>
      </c>
      <c r="H3" s="76" t="s">
        <v>264</v>
      </c>
      <c r="I3" s="76" t="s">
        <v>265</v>
      </c>
      <c r="J3" s="76" t="s">
        <v>266</v>
      </c>
      <c r="K3" s="76" t="s">
        <v>267</v>
      </c>
    </row>
    <row r="4">
      <c r="B4" s="34" t="s">
        <v>132</v>
      </c>
      <c r="C4" s="34" t="s">
        <v>133</v>
      </c>
      <c r="D4" s="36">
        <v>64.0</v>
      </c>
      <c r="E4" s="34" t="s">
        <v>268</v>
      </c>
      <c r="F4" s="34" t="s">
        <v>269</v>
      </c>
      <c r="G4" s="34" t="s">
        <v>270</v>
      </c>
      <c r="H4" s="34" t="s">
        <v>271</v>
      </c>
      <c r="I4" s="34" t="s">
        <v>272</v>
      </c>
      <c r="J4" s="34" t="s">
        <v>94</v>
      </c>
      <c r="K4" s="34" t="s">
        <v>273</v>
      </c>
    </row>
    <row r="5">
      <c r="B5" s="34" t="s">
        <v>274</v>
      </c>
      <c r="C5" s="34" t="s">
        <v>275</v>
      </c>
      <c r="D5" s="34" t="s">
        <v>94</v>
      </c>
      <c r="E5" s="34" t="s">
        <v>94</v>
      </c>
      <c r="F5" s="34" t="s">
        <v>94</v>
      </c>
      <c r="G5" s="34" t="s">
        <v>270</v>
      </c>
      <c r="H5" s="34" t="s">
        <v>90</v>
      </c>
      <c r="I5" s="34" t="s">
        <v>90</v>
      </c>
      <c r="J5" s="34" t="s">
        <v>276</v>
      </c>
      <c r="K5" s="34" t="s">
        <v>273</v>
      </c>
    </row>
    <row r="6">
      <c r="B6" s="34" t="s">
        <v>136</v>
      </c>
      <c r="C6" s="34" t="s">
        <v>137</v>
      </c>
      <c r="D6" s="36">
        <v>89.0</v>
      </c>
      <c r="E6" s="34" t="s">
        <v>268</v>
      </c>
      <c r="F6" s="34" t="s">
        <v>269</v>
      </c>
      <c r="G6" s="34" t="s">
        <v>270</v>
      </c>
      <c r="H6" s="34" t="s">
        <v>90</v>
      </c>
      <c r="I6" s="34" t="s">
        <v>90</v>
      </c>
      <c r="J6" s="34" t="s">
        <v>276</v>
      </c>
      <c r="K6" s="34" t="s">
        <v>273</v>
      </c>
    </row>
    <row r="7">
      <c r="B7" s="34" t="s">
        <v>134</v>
      </c>
      <c r="C7" s="34" t="s">
        <v>135</v>
      </c>
      <c r="D7" s="36">
        <v>53.0</v>
      </c>
      <c r="E7" s="34" t="s">
        <v>268</v>
      </c>
      <c r="F7" s="34" t="s">
        <v>269</v>
      </c>
      <c r="G7" s="34" t="s">
        <v>270</v>
      </c>
      <c r="H7" s="34" t="s">
        <v>90</v>
      </c>
      <c r="I7" s="34" t="s">
        <v>90</v>
      </c>
      <c r="J7" s="34" t="s">
        <v>94</v>
      </c>
      <c r="K7" s="34" t="s">
        <v>273</v>
      </c>
    </row>
  </sheetData>
  <mergeCells count="1">
    <mergeCell ref="A1:K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26.0"/>
    <col customWidth="1" min="6" max="6" width="15.0"/>
    <col customWidth="1" min="7" max="7" width="41.5"/>
    <col customWidth="1" min="8" max="8" width="18.63"/>
  </cols>
  <sheetData>
    <row r="1">
      <c r="A1" s="12" t="s">
        <v>277</v>
      </c>
      <c r="B1" s="2"/>
      <c r="C1" s="2"/>
      <c r="D1" s="2"/>
      <c r="E1" s="2"/>
      <c r="F1" s="2"/>
      <c r="G1" s="2"/>
      <c r="H1" s="3"/>
    </row>
    <row r="2" ht="5.25" customHeight="1"/>
    <row r="3">
      <c r="A3" s="77" t="s">
        <v>278</v>
      </c>
      <c r="B3" s="77" t="s">
        <v>279</v>
      </c>
      <c r="C3" s="77" t="s">
        <v>280</v>
      </c>
      <c r="D3" s="77" t="s">
        <v>281</v>
      </c>
      <c r="E3" s="77" t="s">
        <v>282</v>
      </c>
      <c r="F3" s="77" t="s">
        <v>283</v>
      </c>
      <c r="G3" s="77" t="s">
        <v>284</v>
      </c>
      <c r="H3" s="77" t="s">
        <v>285</v>
      </c>
    </row>
    <row r="4">
      <c r="A4" s="26" t="s">
        <v>286</v>
      </c>
      <c r="B4" s="26" t="s">
        <v>287</v>
      </c>
      <c r="C4" s="26" t="s">
        <v>288</v>
      </c>
      <c r="D4" s="26" t="s">
        <v>289</v>
      </c>
      <c r="E4" s="26" t="s">
        <v>290</v>
      </c>
      <c r="F4" s="26" t="s">
        <v>291</v>
      </c>
      <c r="G4" s="26" t="s">
        <v>292</v>
      </c>
      <c r="H4" s="26" t="s">
        <v>293</v>
      </c>
    </row>
    <row r="5">
      <c r="A5" s="26" t="s">
        <v>294</v>
      </c>
      <c r="B5" s="26" t="s">
        <v>295</v>
      </c>
      <c r="C5" s="26" t="s">
        <v>296</v>
      </c>
      <c r="D5" s="26" t="s">
        <v>297</v>
      </c>
      <c r="E5" s="26" t="s">
        <v>298</v>
      </c>
      <c r="F5" s="26" t="s">
        <v>299</v>
      </c>
      <c r="G5" s="26" t="s">
        <v>94</v>
      </c>
      <c r="H5" s="26" t="s">
        <v>94</v>
      </c>
    </row>
    <row r="6">
      <c r="A6" s="26" t="s">
        <v>294</v>
      </c>
      <c r="B6" s="26" t="s">
        <v>287</v>
      </c>
      <c r="C6" s="26" t="s">
        <v>300</v>
      </c>
      <c r="D6" s="26" t="s">
        <v>301</v>
      </c>
      <c r="E6" s="26" t="s">
        <v>298</v>
      </c>
      <c r="F6" s="26" t="s">
        <v>299</v>
      </c>
      <c r="G6" s="26" t="s">
        <v>302</v>
      </c>
      <c r="H6" s="26" t="s">
        <v>293</v>
      </c>
    </row>
    <row r="7">
      <c r="A7" s="26" t="s">
        <v>303</v>
      </c>
      <c r="B7" s="26" t="s">
        <v>295</v>
      </c>
      <c r="C7" s="26" t="s">
        <v>304</v>
      </c>
      <c r="D7" s="26" t="s">
        <v>305</v>
      </c>
      <c r="E7" s="26" t="s">
        <v>306</v>
      </c>
      <c r="F7" s="26" t="s">
        <v>307</v>
      </c>
      <c r="G7" s="26" t="s">
        <v>94</v>
      </c>
      <c r="H7" s="26" t="s">
        <v>94</v>
      </c>
    </row>
    <row r="8">
      <c r="A8" s="26" t="s">
        <v>303</v>
      </c>
      <c r="B8" s="26" t="s">
        <v>308</v>
      </c>
      <c r="C8" s="26" t="s">
        <v>309</v>
      </c>
      <c r="D8" s="26" t="s">
        <v>310</v>
      </c>
      <c r="E8" s="26" t="s">
        <v>306</v>
      </c>
      <c r="F8" s="26" t="s">
        <v>307</v>
      </c>
      <c r="G8" s="26" t="s">
        <v>311</v>
      </c>
      <c r="H8" s="26" t="s">
        <v>293</v>
      </c>
    </row>
    <row r="9">
      <c r="A9" s="26" t="s">
        <v>303</v>
      </c>
      <c r="B9" s="26" t="s">
        <v>287</v>
      </c>
      <c r="C9" s="26" t="s">
        <v>312</v>
      </c>
      <c r="D9" s="26" t="s">
        <v>313</v>
      </c>
      <c r="E9" s="26" t="s">
        <v>306</v>
      </c>
      <c r="F9" s="26" t="s">
        <v>314</v>
      </c>
      <c r="G9" s="26" t="s">
        <v>311</v>
      </c>
      <c r="H9" s="26" t="s">
        <v>293</v>
      </c>
    </row>
    <row r="10">
      <c r="A10" s="26" t="s">
        <v>315</v>
      </c>
      <c r="B10" s="26" t="s">
        <v>295</v>
      </c>
      <c r="C10" s="26" t="s">
        <v>304</v>
      </c>
      <c r="D10" s="26" t="s">
        <v>305</v>
      </c>
      <c r="E10" s="26" t="s">
        <v>306</v>
      </c>
      <c r="F10" s="26" t="s">
        <v>307</v>
      </c>
      <c r="G10" s="26" t="s">
        <v>94</v>
      </c>
      <c r="H10" s="26" t="s">
        <v>94</v>
      </c>
    </row>
    <row r="11">
      <c r="A11" s="26" t="s">
        <v>315</v>
      </c>
      <c r="B11" s="26" t="s">
        <v>308</v>
      </c>
      <c r="C11" s="26" t="s">
        <v>309</v>
      </c>
      <c r="D11" s="26" t="s">
        <v>310</v>
      </c>
      <c r="E11" s="26" t="s">
        <v>306</v>
      </c>
      <c r="F11" s="26" t="s">
        <v>307</v>
      </c>
      <c r="G11" s="26" t="s">
        <v>316</v>
      </c>
      <c r="H11" s="26" t="s">
        <v>293</v>
      </c>
    </row>
    <row r="12">
      <c r="A12" s="26" t="s">
        <v>315</v>
      </c>
      <c r="B12" s="26" t="s">
        <v>308</v>
      </c>
      <c r="C12" s="26" t="s">
        <v>317</v>
      </c>
      <c r="D12" s="26" t="s">
        <v>318</v>
      </c>
      <c r="E12" s="26" t="s">
        <v>306</v>
      </c>
      <c r="F12" s="26" t="s">
        <v>319</v>
      </c>
      <c r="G12" s="26" t="s">
        <v>316</v>
      </c>
      <c r="H12" s="26" t="s">
        <v>293</v>
      </c>
    </row>
    <row r="13">
      <c r="A13" s="26" t="s">
        <v>315</v>
      </c>
      <c r="B13" s="26" t="s">
        <v>308</v>
      </c>
      <c r="C13" s="26" t="s">
        <v>320</v>
      </c>
      <c r="D13" s="26" t="s">
        <v>321</v>
      </c>
      <c r="E13" s="26" t="s">
        <v>306</v>
      </c>
      <c r="F13" s="26" t="s">
        <v>314</v>
      </c>
      <c r="G13" s="26" t="s">
        <v>322</v>
      </c>
      <c r="H13" s="26" t="s">
        <v>293</v>
      </c>
    </row>
    <row r="14">
      <c r="A14" s="26" t="s">
        <v>315</v>
      </c>
      <c r="B14" s="26" t="s">
        <v>287</v>
      </c>
      <c r="C14" s="26" t="s">
        <v>323</v>
      </c>
      <c r="D14" s="26" t="s">
        <v>324</v>
      </c>
      <c r="E14" s="26" t="s">
        <v>306</v>
      </c>
      <c r="F14" s="26" t="s">
        <v>314</v>
      </c>
      <c r="G14" s="26" t="s">
        <v>316</v>
      </c>
      <c r="H14" s="26" t="s">
        <v>293</v>
      </c>
    </row>
  </sheetData>
  <mergeCells count="1">
    <mergeCell ref="A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0"/>
    <col customWidth="1" min="4" max="4" width="23.63"/>
    <col customWidth="1" min="5" max="5" width="20.38"/>
    <col customWidth="1" min="6" max="6" width="20.0"/>
    <col customWidth="1" min="7" max="7" width="17.88"/>
    <col customWidth="1" min="9" max="9" width="43.25"/>
  </cols>
  <sheetData>
    <row r="1">
      <c r="A1" s="12" t="s">
        <v>325</v>
      </c>
      <c r="B1" s="2"/>
      <c r="C1" s="2"/>
      <c r="D1" s="2"/>
      <c r="E1" s="2"/>
      <c r="F1" s="2"/>
      <c r="G1" s="2"/>
      <c r="H1" s="2"/>
      <c r="I1" s="3"/>
    </row>
    <row r="2">
      <c r="A2" s="75"/>
      <c r="B2" s="75"/>
      <c r="C2" s="75"/>
      <c r="D2" s="75"/>
      <c r="E2" s="75"/>
      <c r="F2" s="75"/>
      <c r="G2" s="75"/>
      <c r="H2" s="75"/>
      <c r="I2" s="75"/>
    </row>
    <row r="3">
      <c r="A3" s="78" t="s">
        <v>326</v>
      </c>
      <c r="B3" s="78" t="s">
        <v>327</v>
      </c>
      <c r="C3" s="78" t="s">
        <v>328</v>
      </c>
      <c r="D3" s="78" t="s">
        <v>329</v>
      </c>
      <c r="E3" s="78" t="s">
        <v>330</v>
      </c>
      <c r="F3" s="78" t="s">
        <v>331</v>
      </c>
      <c r="G3" s="78" t="s">
        <v>332</v>
      </c>
      <c r="H3" s="78" t="s">
        <v>333</v>
      </c>
      <c r="I3" s="78" t="s">
        <v>334</v>
      </c>
    </row>
    <row r="4">
      <c r="A4" s="26" t="s">
        <v>335</v>
      </c>
      <c r="B4" s="26" t="s">
        <v>336</v>
      </c>
      <c r="C4" s="26" t="s">
        <v>337</v>
      </c>
      <c r="D4" s="26" t="s">
        <v>338</v>
      </c>
      <c r="E4" s="26" t="s">
        <v>339</v>
      </c>
      <c r="F4" s="26" t="s">
        <v>340</v>
      </c>
      <c r="G4" s="26" t="s">
        <v>341</v>
      </c>
      <c r="H4" s="26" t="s">
        <v>342</v>
      </c>
      <c r="I4" s="79" t="s">
        <v>343</v>
      </c>
    </row>
    <row r="5">
      <c r="A5" s="26" t="s">
        <v>344</v>
      </c>
      <c r="B5" s="26" t="s">
        <v>336</v>
      </c>
      <c r="C5" s="26" t="s">
        <v>337</v>
      </c>
      <c r="D5" s="26" t="s">
        <v>338</v>
      </c>
      <c r="E5" s="26" t="s">
        <v>339</v>
      </c>
      <c r="F5" s="26" t="s">
        <v>340</v>
      </c>
      <c r="G5" s="26" t="s">
        <v>341</v>
      </c>
      <c r="H5" s="26" t="s">
        <v>342</v>
      </c>
      <c r="I5" s="79" t="s">
        <v>345</v>
      </c>
    </row>
    <row r="6">
      <c r="A6" s="26" t="s">
        <v>346</v>
      </c>
      <c r="B6" s="26" t="s">
        <v>336</v>
      </c>
      <c r="C6" s="26" t="s">
        <v>337</v>
      </c>
      <c r="D6" s="26" t="s">
        <v>338</v>
      </c>
      <c r="E6" s="26" t="s">
        <v>339</v>
      </c>
      <c r="F6" s="26" t="s">
        <v>340</v>
      </c>
      <c r="G6" s="26" t="s">
        <v>341</v>
      </c>
      <c r="H6" s="26" t="s">
        <v>342</v>
      </c>
      <c r="I6" s="79" t="s">
        <v>345</v>
      </c>
    </row>
    <row r="7">
      <c r="A7" s="26" t="s">
        <v>347</v>
      </c>
      <c r="B7" s="26" t="s">
        <v>336</v>
      </c>
      <c r="C7" s="26" t="s">
        <v>337</v>
      </c>
      <c r="D7" s="26" t="s">
        <v>338</v>
      </c>
      <c r="E7" s="26" t="s">
        <v>339</v>
      </c>
      <c r="F7" s="26" t="s">
        <v>340</v>
      </c>
      <c r="G7" s="26" t="s">
        <v>341</v>
      </c>
      <c r="H7" s="26" t="s">
        <v>342</v>
      </c>
      <c r="I7" s="79" t="s">
        <v>345</v>
      </c>
    </row>
    <row r="8">
      <c r="A8" s="26" t="s">
        <v>348</v>
      </c>
      <c r="B8" s="26" t="s">
        <v>336</v>
      </c>
      <c r="C8" s="26" t="s">
        <v>337</v>
      </c>
      <c r="D8" s="26" t="s">
        <v>338</v>
      </c>
      <c r="E8" s="26" t="s">
        <v>339</v>
      </c>
      <c r="F8" s="26" t="s">
        <v>340</v>
      </c>
      <c r="G8" s="26" t="s">
        <v>341</v>
      </c>
      <c r="H8" s="26" t="s">
        <v>342</v>
      </c>
      <c r="I8" s="79" t="s">
        <v>345</v>
      </c>
    </row>
    <row r="9">
      <c r="A9" s="26" t="s">
        <v>349</v>
      </c>
      <c r="B9" s="26" t="s">
        <v>336</v>
      </c>
      <c r="C9" s="26" t="s">
        <v>337</v>
      </c>
      <c r="D9" s="26" t="s">
        <v>338</v>
      </c>
      <c r="E9" s="26" t="s">
        <v>339</v>
      </c>
      <c r="F9" s="26" t="s">
        <v>340</v>
      </c>
      <c r="G9" s="26" t="s">
        <v>341</v>
      </c>
      <c r="H9" s="26" t="s">
        <v>342</v>
      </c>
      <c r="I9" s="79" t="s">
        <v>345</v>
      </c>
    </row>
    <row r="10">
      <c r="A10" s="26" t="s">
        <v>350</v>
      </c>
      <c r="B10" s="26" t="s">
        <v>336</v>
      </c>
      <c r="C10" s="26" t="s">
        <v>337</v>
      </c>
      <c r="D10" s="26" t="s">
        <v>338</v>
      </c>
      <c r="E10" s="26" t="s">
        <v>339</v>
      </c>
      <c r="F10" s="26" t="s">
        <v>340</v>
      </c>
      <c r="G10" s="26" t="s">
        <v>341</v>
      </c>
      <c r="H10" s="26" t="s">
        <v>342</v>
      </c>
      <c r="I10" s="79" t="s">
        <v>345</v>
      </c>
    </row>
    <row r="11">
      <c r="A11" s="26" t="s">
        <v>351</v>
      </c>
      <c r="B11" s="26" t="s">
        <v>336</v>
      </c>
      <c r="C11" s="26" t="s">
        <v>337</v>
      </c>
      <c r="D11" s="26" t="s">
        <v>338</v>
      </c>
      <c r="E11" s="26" t="s">
        <v>339</v>
      </c>
      <c r="F11" s="26" t="s">
        <v>340</v>
      </c>
      <c r="G11" s="26" t="s">
        <v>341</v>
      </c>
      <c r="H11" s="26" t="s">
        <v>342</v>
      </c>
      <c r="I11" s="79" t="s">
        <v>345</v>
      </c>
    </row>
    <row r="12">
      <c r="A12" s="26" t="s">
        <v>352</v>
      </c>
      <c r="B12" s="26" t="s">
        <v>336</v>
      </c>
      <c r="C12" s="26" t="s">
        <v>337</v>
      </c>
      <c r="D12" s="26" t="s">
        <v>338</v>
      </c>
      <c r="E12" s="26" t="s">
        <v>353</v>
      </c>
      <c r="F12" s="26" t="s">
        <v>340</v>
      </c>
      <c r="G12" s="26" t="s">
        <v>341</v>
      </c>
      <c r="H12" s="26" t="s">
        <v>342</v>
      </c>
      <c r="I12" s="79" t="s">
        <v>345</v>
      </c>
    </row>
    <row r="13">
      <c r="A13" s="26" t="s">
        <v>354</v>
      </c>
      <c r="B13" s="26" t="s">
        <v>336</v>
      </c>
      <c r="C13" s="26" t="s">
        <v>337</v>
      </c>
      <c r="D13" s="26" t="s">
        <v>338</v>
      </c>
      <c r="E13" s="26" t="s">
        <v>339</v>
      </c>
      <c r="F13" s="26" t="s">
        <v>340</v>
      </c>
      <c r="G13" s="26" t="s">
        <v>341</v>
      </c>
      <c r="H13" s="26" t="s">
        <v>342</v>
      </c>
      <c r="I13" s="79" t="s">
        <v>355</v>
      </c>
    </row>
  </sheetData>
  <mergeCells count="1">
    <mergeCell ref="A1:I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47.63"/>
    <col customWidth="1" min="4" max="4" width="18.63"/>
    <col customWidth="1" min="5" max="5" width="31.38"/>
  </cols>
  <sheetData>
    <row r="1">
      <c r="A1" s="11"/>
      <c r="B1" s="12" t="s">
        <v>356</v>
      </c>
      <c r="C1" s="2"/>
      <c r="D1" s="2"/>
      <c r="E1" s="2"/>
      <c r="F1" s="2"/>
      <c r="G1" s="3"/>
      <c r="H1" s="28"/>
    </row>
    <row r="2">
      <c r="A2" s="75"/>
      <c r="B2" s="75"/>
      <c r="C2" s="28"/>
      <c r="D2" s="28"/>
      <c r="E2" s="28"/>
      <c r="F2" s="28"/>
      <c r="G2" s="28"/>
      <c r="H2" s="28"/>
    </row>
    <row r="3">
      <c r="A3" s="75"/>
      <c r="B3" s="80" t="s">
        <v>357</v>
      </c>
      <c r="D3" s="28"/>
      <c r="E3" s="28"/>
      <c r="F3" s="28"/>
      <c r="G3" s="28"/>
      <c r="H3" s="28"/>
    </row>
    <row r="4" ht="4.5" customHeight="1">
      <c r="A4" s="28"/>
      <c r="B4" s="28"/>
      <c r="C4" s="81"/>
      <c r="D4" s="28"/>
      <c r="E4" s="28"/>
      <c r="F4" s="28"/>
      <c r="G4" s="28"/>
      <c r="H4" s="28"/>
    </row>
    <row r="5">
      <c r="A5" s="28"/>
      <c r="B5" s="34" t="s">
        <v>358</v>
      </c>
      <c r="C5" s="36">
        <v>4.0</v>
      </c>
      <c r="D5" s="28"/>
      <c r="E5" s="28"/>
      <c r="F5" s="28"/>
      <c r="G5" s="28"/>
      <c r="H5" s="28"/>
    </row>
    <row r="6">
      <c r="A6" s="28"/>
      <c r="B6" s="34" t="s">
        <v>359</v>
      </c>
      <c r="C6" s="36">
        <v>5.0</v>
      </c>
      <c r="D6" s="28"/>
      <c r="E6" s="28"/>
      <c r="F6" s="28"/>
      <c r="G6" s="28"/>
      <c r="H6" s="28"/>
    </row>
    <row r="7">
      <c r="A7" s="28"/>
      <c r="B7" s="34" t="s">
        <v>360</v>
      </c>
      <c r="C7" s="36">
        <v>0.0</v>
      </c>
      <c r="D7" s="28"/>
      <c r="E7" s="28"/>
      <c r="F7" s="28"/>
      <c r="G7" s="28"/>
      <c r="H7" s="28"/>
    </row>
    <row r="8">
      <c r="A8" s="28"/>
      <c r="B8" s="34" t="s">
        <v>361</v>
      </c>
      <c r="C8" s="36">
        <v>0.0</v>
      </c>
      <c r="D8" s="28"/>
      <c r="E8" s="28"/>
      <c r="F8" s="28"/>
      <c r="G8" s="28"/>
      <c r="H8" s="28"/>
    </row>
    <row r="9">
      <c r="A9" s="28"/>
      <c r="B9" s="34" t="s">
        <v>362</v>
      </c>
      <c r="C9" s="36">
        <v>0.0</v>
      </c>
      <c r="D9" s="28"/>
      <c r="E9" s="28"/>
      <c r="F9" s="28"/>
      <c r="G9" s="28"/>
      <c r="H9" s="28"/>
    </row>
    <row r="10">
      <c r="A10" s="28"/>
      <c r="B10" s="34" t="s">
        <v>363</v>
      </c>
      <c r="C10" s="36">
        <v>0.0</v>
      </c>
      <c r="D10" s="28"/>
      <c r="E10" s="28"/>
      <c r="F10" s="28"/>
      <c r="G10" s="28"/>
      <c r="H10" s="28"/>
    </row>
    <row r="11">
      <c r="A11" s="28"/>
      <c r="B11" s="28"/>
      <c r="C11" s="28"/>
      <c r="D11" s="28"/>
      <c r="E11" s="28"/>
      <c r="F11" s="28"/>
      <c r="G11" s="28"/>
      <c r="H11" s="28"/>
    </row>
    <row r="12">
      <c r="A12" s="75"/>
      <c r="B12" s="80" t="s">
        <v>364</v>
      </c>
      <c r="D12" s="28"/>
      <c r="E12" s="28"/>
      <c r="F12" s="28"/>
      <c r="G12" s="28"/>
      <c r="H12" s="28"/>
    </row>
    <row r="13">
      <c r="A13" s="75"/>
      <c r="B13" s="75"/>
      <c r="C13" s="28"/>
      <c r="D13" s="28"/>
      <c r="E13" s="28"/>
      <c r="F13" s="28"/>
      <c r="G13" s="28"/>
      <c r="H13" s="28"/>
    </row>
    <row r="14">
      <c r="A14" s="75"/>
      <c r="B14" s="82" t="s">
        <v>365</v>
      </c>
      <c r="C14" s="28"/>
      <c r="D14" s="28"/>
      <c r="E14" s="28"/>
      <c r="F14" s="28"/>
      <c r="G14" s="28"/>
      <c r="H14" s="28"/>
    </row>
    <row r="15">
      <c r="A15" s="75"/>
      <c r="C15" s="28"/>
      <c r="D15" s="28"/>
      <c r="E15" s="28"/>
      <c r="F15" s="28"/>
      <c r="G15" s="28"/>
      <c r="H15" s="28"/>
    </row>
    <row r="16">
      <c r="A16" s="75"/>
      <c r="B16" s="32" t="s">
        <v>366</v>
      </c>
      <c r="C16" s="32" t="s">
        <v>367</v>
      </c>
      <c r="D16" s="32" t="s">
        <v>368</v>
      </c>
      <c r="E16" s="32" t="s">
        <v>369</v>
      </c>
      <c r="F16" s="32" t="s">
        <v>370</v>
      </c>
      <c r="G16" s="32" t="s">
        <v>371</v>
      </c>
      <c r="H16" s="28"/>
    </row>
    <row r="17">
      <c r="A17" s="28"/>
      <c r="B17" s="34" t="s">
        <v>61</v>
      </c>
      <c r="C17" s="34" t="s">
        <v>372</v>
      </c>
      <c r="D17" s="34" t="s">
        <v>373</v>
      </c>
      <c r="E17" s="34" t="s">
        <v>374</v>
      </c>
      <c r="F17" s="34" t="s">
        <v>375</v>
      </c>
      <c r="G17" s="34" t="s">
        <v>376</v>
      </c>
      <c r="H17" s="28"/>
    </row>
    <row r="18">
      <c r="A18" s="28"/>
      <c r="B18" s="34" t="s">
        <v>61</v>
      </c>
      <c r="C18" s="34" t="s">
        <v>372</v>
      </c>
      <c r="D18" s="34" t="s">
        <v>377</v>
      </c>
      <c r="E18" s="34" t="s">
        <v>378</v>
      </c>
      <c r="F18" s="34" t="s">
        <v>375</v>
      </c>
      <c r="G18" s="34" t="s">
        <v>379</v>
      </c>
      <c r="H18" s="28"/>
    </row>
    <row r="19">
      <c r="A19" s="28"/>
      <c r="B19" s="34" t="s">
        <v>61</v>
      </c>
      <c r="C19" s="34" t="s">
        <v>372</v>
      </c>
      <c r="D19" s="34" t="s">
        <v>380</v>
      </c>
      <c r="E19" s="34" t="s">
        <v>381</v>
      </c>
      <c r="F19" s="34" t="s">
        <v>375</v>
      </c>
      <c r="G19" s="34" t="s">
        <v>379</v>
      </c>
      <c r="H19" s="28"/>
    </row>
    <row r="20">
      <c r="A20" s="28"/>
      <c r="B20" s="34" t="s">
        <v>61</v>
      </c>
      <c r="C20" s="34" t="s">
        <v>372</v>
      </c>
      <c r="D20" s="34" t="s">
        <v>380</v>
      </c>
      <c r="E20" s="34" t="s">
        <v>382</v>
      </c>
      <c r="F20" s="34" t="s">
        <v>375</v>
      </c>
      <c r="G20" s="34" t="s">
        <v>379</v>
      </c>
      <c r="H20" s="28"/>
    </row>
    <row r="21">
      <c r="A21" s="28"/>
      <c r="B21" s="28"/>
      <c r="C21" s="28"/>
      <c r="D21" s="28"/>
      <c r="E21" s="28"/>
      <c r="F21" s="28"/>
      <c r="G21" s="28"/>
      <c r="H21" s="28"/>
    </row>
    <row r="22">
      <c r="A22" s="28"/>
      <c r="B22" s="83" t="s">
        <v>383</v>
      </c>
      <c r="C22" s="28"/>
      <c r="D22" s="28"/>
      <c r="E22" s="28"/>
      <c r="F22" s="28"/>
      <c r="G22" s="28"/>
      <c r="H22" s="28"/>
    </row>
    <row r="23">
      <c r="A23" s="28"/>
      <c r="B23" s="28"/>
      <c r="C23" s="28"/>
      <c r="D23" s="28"/>
      <c r="E23" s="28"/>
      <c r="F23" s="28"/>
      <c r="G23" s="28"/>
      <c r="H23" s="28"/>
    </row>
    <row r="24">
      <c r="A24" s="75"/>
      <c r="B24" s="75" t="s">
        <v>384</v>
      </c>
      <c r="C24" s="28"/>
      <c r="D24" s="28"/>
      <c r="E24" s="28"/>
      <c r="F24" s="28"/>
      <c r="G24" s="28"/>
      <c r="H24" s="28"/>
    </row>
    <row r="25">
      <c r="A25" s="75"/>
      <c r="B25" s="32" t="s">
        <v>366</v>
      </c>
      <c r="C25" s="32" t="s">
        <v>367</v>
      </c>
      <c r="D25" s="32" t="s">
        <v>368</v>
      </c>
      <c r="E25" s="32" t="s">
        <v>369</v>
      </c>
      <c r="F25" s="32" t="s">
        <v>370</v>
      </c>
      <c r="G25" s="32" t="s">
        <v>371</v>
      </c>
      <c r="H25" s="28"/>
    </row>
    <row r="26">
      <c r="A26" s="28"/>
      <c r="B26" s="34" t="s">
        <v>133</v>
      </c>
      <c r="C26" s="34" t="s">
        <v>385</v>
      </c>
      <c r="D26" s="34" t="s">
        <v>386</v>
      </c>
      <c r="E26" s="34" t="s">
        <v>387</v>
      </c>
      <c r="F26" s="34" t="s">
        <v>388</v>
      </c>
      <c r="G26" s="34" t="s">
        <v>379</v>
      </c>
      <c r="H26" s="28"/>
    </row>
    <row r="27">
      <c r="A27" s="28"/>
      <c r="B27" s="34" t="s">
        <v>133</v>
      </c>
      <c r="C27" s="34" t="s">
        <v>372</v>
      </c>
      <c r="D27" s="34" t="s">
        <v>389</v>
      </c>
      <c r="E27" s="34" t="s">
        <v>390</v>
      </c>
      <c r="F27" s="34" t="s">
        <v>375</v>
      </c>
      <c r="G27" s="34" t="s">
        <v>379</v>
      </c>
      <c r="H27" s="28"/>
    </row>
    <row r="28">
      <c r="A28" s="28"/>
      <c r="B28" s="34" t="s">
        <v>133</v>
      </c>
      <c r="C28" s="34" t="s">
        <v>385</v>
      </c>
      <c r="D28" s="34" t="s">
        <v>389</v>
      </c>
      <c r="E28" s="34" t="s">
        <v>391</v>
      </c>
      <c r="F28" s="34" t="s">
        <v>388</v>
      </c>
      <c r="G28" s="34" t="s">
        <v>379</v>
      </c>
      <c r="H28" s="28"/>
    </row>
    <row r="29">
      <c r="A29" s="28"/>
      <c r="B29" s="34" t="s">
        <v>133</v>
      </c>
      <c r="C29" s="34" t="s">
        <v>372</v>
      </c>
      <c r="D29" s="34" t="s">
        <v>392</v>
      </c>
      <c r="E29" s="34" t="s">
        <v>393</v>
      </c>
      <c r="F29" s="34" t="s">
        <v>375</v>
      </c>
      <c r="G29" s="34" t="s">
        <v>394</v>
      </c>
      <c r="H29" s="28"/>
    </row>
    <row r="30">
      <c r="A30" s="28"/>
      <c r="B30" s="34" t="s">
        <v>133</v>
      </c>
      <c r="C30" s="34" t="s">
        <v>372</v>
      </c>
      <c r="D30" s="34" t="s">
        <v>392</v>
      </c>
      <c r="E30" s="34" t="s">
        <v>393</v>
      </c>
      <c r="F30" s="34" t="s">
        <v>388</v>
      </c>
      <c r="G30" s="34" t="s">
        <v>379</v>
      </c>
      <c r="H30" s="28"/>
    </row>
    <row r="31">
      <c r="A31" s="28"/>
      <c r="B31" s="28"/>
      <c r="C31" s="28"/>
      <c r="D31" s="28"/>
      <c r="E31" s="28"/>
      <c r="F31" s="28"/>
      <c r="G31" s="28"/>
      <c r="H31" s="28"/>
    </row>
    <row r="32">
      <c r="A32" s="28"/>
      <c r="B32" s="28"/>
      <c r="C32" s="28"/>
      <c r="D32" s="28"/>
      <c r="E32" s="28"/>
      <c r="F32" s="28"/>
      <c r="G32" s="28"/>
      <c r="H32" s="28"/>
    </row>
    <row r="33">
      <c r="A33" s="75"/>
      <c r="B33" s="75" t="s">
        <v>395</v>
      </c>
      <c r="C33" s="28"/>
      <c r="D33" s="28"/>
      <c r="E33" s="28"/>
      <c r="F33" s="28"/>
      <c r="G33" s="28"/>
      <c r="H33" s="28"/>
    </row>
    <row r="34">
      <c r="A34" s="75"/>
      <c r="B34" s="32" t="s">
        <v>366</v>
      </c>
      <c r="C34" s="32" t="s">
        <v>367</v>
      </c>
      <c r="D34" s="32" t="s">
        <v>368</v>
      </c>
      <c r="E34" s="32" t="s">
        <v>369</v>
      </c>
      <c r="F34" s="32" t="s">
        <v>370</v>
      </c>
      <c r="G34" s="32" t="s">
        <v>371</v>
      </c>
      <c r="H34" s="28"/>
    </row>
    <row r="35">
      <c r="A35" s="28"/>
      <c r="B35" s="28"/>
      <c r="C35" s="28"/>
      <c r="D35" s="28"/>
      <c r="E35" s="28"/>
      <c r="F35" s="28"/>
      <c r="G35" s="28"/>
      <c r="H35" s="28"/>
    </row>
    <row r="36">
      <c r="A36" s="28"/>
      <c r="B36" s="28"/>
      <c r="C36" s="28"/>
      <c r="D36" s="28"/>
      <c r="E36" s="28"/>
      <c r="F36" s="28"/>
      <c r="G36" s="28"/>
      <c r="H36" s="28"/>
    </row>
    <row r="37">
      <c r="A37" s="75"/>
      <c r="B37" s="80" t="s">
        <v>396</v>
      </c>
      <c r="D37" s="28"/>
      <c r="E37" s="28"/>
      <c r="F37" s="28"/>
      <c r="G37" s="28"/>
      <c r="H37" s="28"/>
    </row>
    <row r="38">
      <c r="A38" s="75"/>
      <c r="B38" s="83" t="s">
        <v>365</v>
      </c>
      <c r="C38" s="28"/>
      <c r="D38" s="28"/>
      <c r="E38" s="28"/>
      <c r="F38" s="28"/>
      <c r="G38" s="28"/>
      <c r="H38" s="28"/>
    </row>
    <row r="39">
      <c r="A39" s="75"/>
      <c r="B39" s="32" t="s">
        <v>397</v>
      </c>
      <c r="C39" s="32" t="s">
        <v>398</v>
      </c>
      <c r="D39" s="32" t="s">
        <v>399</v>
      </c>
      <c r="E39" s="32" t="s">
        <v>400</v>
      </c>
      <c r="F39" s="28"/>
      <c r="G39" s="28"/>
      <c r="H39" s="28"/>
    </row>
    <row r="40">
      <c r="A40" s="28"/>
      <c r="B40" s="28"/>
      <c r="C40" s="28"/>
      <c r="D40" s="28"/>
      <c r="E40" s="28"/>
      <c r="F40" s="28"/>
      <c r="G40" s="28"/>
      <c r="H40" s="28"/>
    </row>
    <row r="41">
      <c r="A41" s="28"/>
      <c r="B41" s="83" t="s">
        <v>383</v>
      </c>
      <c r="C41" s="28"/>
      <c r="D41" s="28"/>
      <c r="E41" s="28"/>
      <c r="F41" s="28"/>
      <c r="G41" s="28"/>
      <c r="H41" s="28"/>
    </row>
    <row r="42">
      <c r="A42" s="75"/>
      <c r="B42" s="75" t="s">
        <v>401</v>
      </c>
      <c r="C42" s="28"/>
      <c r="D42" s="28"/>
      <c r="E42" s="28"/>
      <c r="F42" s="28"/>
      <c r="G42" s="28"/>
      <c r="H42" s="28"/>
    </row>
    <row r="43">
      <c r="A43" s="75"/>
      <c r="B43" s="32" t="s">
        <v>397</v>
      </c>
      <c r="C43" s="32" t="s">
        <v>398</v>
      </c>
      <c r="D43" s="32" t="s">
        <v>399</v>
      </c>
      <c r="E43" s="32" t="s">
        <v>400</v>
      </c>
      <c r="F43" s="28"/>
      <c r="G43" s="28"/>
      <c r="H43" s="28"/>
    </row>
    <row r="44">
      <c r="A44" s="28"/>
      <c r="B44" s="28"/>
      <c r="C44" s="28"/>
      <c r="D44" s="28"/>
      <c r="E44" s="28"/>
      <c r="F44" s="28"/>
      <c r="G44" s="28"/>
      <c r="H44" s="28"/>
    </row>
    <row r="45">
      <c r="A45" s="28"/>
      <c r="B45" s="28"/>
      <c r="C45" s="28"/>
      <c r="D45" s="28"/>
      <c r="E45" s="28"/>
      <c r="F45" s="28"/>
      <c r="G45" s="28"/>
      <c r="H45" s="28"/>
    </row>
    <row r="46">
      <c r="A46" s="75"/>
      <c r="B46" s="75" t="s">
        <v>402</v>
      </c>
      <c r="C46" s="28"/>
      <c r="D46" s="28"/>
      <c r="E46" s="28"/>
      <c r="F46" s="28"/>
      <c r="G46" s="28"/>
      <c r="H46" s="28"/>
    </row>
    <row r="47">
      <c r="A47" s="75"/>
      <c r="B47" s="32" t="s">
        <v>397</v>
      </c>
      <c r="C47" s="32" t="s">
        <v>398</v>
      </c>
      <c r="D47" s="32" t="s">
        <v>399</v>
      </c>
      <c r="E47" s="32" t="s">
        <v>400</v>
      </c>
      <c r="F47" s="28"/>
      <c r="G47" s="28"/>
      <c r="H47" s="28"/>
    </row>
    <row r="48">
      <c r="A48" s="28"/>
      <c r="B48" s="28"/>
      <c r="C48" s="28"/>
      <c r="D48" s="28"/>
      <c r="E48" s="28"/>
      <c r="F48" s="28"/>
      <c r="G48" s="28"/>
      <c r="H48" s="28"/>
    </row>
    <row r="49">
      <c r="A49" s="28"/>
      <c r="B49" s="28"/>
      <c r="C49" s="28"/>
      <c r="D49" s="28"/>
      <c r="E49" s="28"/>
      <c r="F49" s="28"/>
      <c r="G49" s="28"/>
      <c r="H49" s="28"/>
    </row>
    <row r="50">
      <c r="A50" s="28"/>
      <c r="B50" s="28"/>
      <c r="C50" s="28"/>
      <c r="D50" s="28"/>
      <c r="E50" s="28"/>
      <c r="F50" s="28"/>
      <c r="G50" s="28"/>
      <c r="H50" s="28"/>
    </row>
    <row r="51">
      <c r="A51" s="28"/>
      <c r="B51" s="28"/>
      <c r="C51" s="28"/>
      <c r="D51" s="28"/>
      <c r="E51" s="28"/>
      <c r="F51" s="28"/>
      <c r="G51" s="28"/>
      <c r="H51" s="28"/>
    </row>
    <row r="52">
      <c r="A52" s="28"/>
      <c r="B52" s="28"/>
      <c r="C52" s="28"/>
      <c r="D52" s="28"/>
      <c r="E52" s="28"/>
      <c r="F52" s="28"/>
      <c r="G52" s="28"/>
      <c r="H52" s="28"/>
    </row>
    <row r="53">
      <c r="A53" s="28"/>
      <c r="B53" s="28"/>
      <c r="C53" s="28"/>
      <c r="D53" s="28"/>
      <c r="E53" s="28"/>
      <c r="F53" s="28"/>
      <c r="G53" s="28"/>
      <c r="H53" s="28"/>
    </row>
    <row r="54">
      <c r="A54" s="28"/>
      <c r="B54" s="28"/>
      <c r="C54" s="28"/>
      <c r="D54" s="28"/>
      <c r="E54" s="28"/>
      <c r="F54" s="28"/>
      <c r="G54" s="28"/>
      <c r="H54" s="28"/>
    </row>
    <row r="55">
      <c r="A55" s="28"/>
      <c r="B55" s="28"/>
      <c r="C55" s="28"/>
      <c r="D55" s="28"/>
      <c r="E55" s="28"/>
      <c r="F55" s="28"/>
      <c r="G55" s="28"/>
      <c r="H55" s="28"/>
    </row>
  </sheetData>
  <mergeCells count="4">
    <mergeCell ref="B1:G1"/>
    <mergeCell ref="B3:C3"/>
    <mergeCell ref="B12:C12"/>
    <mergeCell ref="B37:C3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33.38"/>
    <col customWidth="1" min="4" max="4" width="15.88"/>
    <col customWidth="1" min="12" max="12" width="15.38"/>
  </cols>
  <sheetData>
    <row r="1">
      <c r="A1" s="11"/>
      <c r="B1" s="12" t="s">
        <v>403</v>
      </c>
      <c r="C1" s="2"/>
      <c r="D1" s="2"/>
      <c r="E1" s="2"/>
      <c r="F1" s="2"/>
      <c r="G1" s="2"/>
      <c r="H1" s="2"/>
      <c r="I1" s="2"/>
      <c r="J1" s="2"/>
      <c r="K1" s="2"/>
      <c r="L1" s="2"/>
      <c r="M1" s="3"/>
    </row>
    <row r="2" ht="1.5" customHeight="1"/>
    <row r="3">
      <c r="A3" s="84"/>
      <c r="B3" s="78" t="s">
        <v>404</v>
      </c>
      <c r="C3" s="78" t="s">
        <v>405</v>
      </c>
      <c r="D3" s="78" t="s">
        <v>406</v>
      </c>
      <c r="E3" s="78" t="s">
        <v>407</v>
      </c>
      <c r="F3" s="78" t="s">
        <v>408</v>
      </c>
      <c r="G3" s="78" t="s">
        <v>409</v>
      </c>
      <c r="H3" s="78" t="s">
        <v>410</v>
      </c>
      <c r="I3" s="78" t="s">
        <v>411</v>
      </c>
      <c r="J3" s="78" t="s">
        <v>412</v>
      </c>
      <c r="K3" s="78" t="s">
        <v>413</v>
      </c>
      <c r="L3" s="78" t="s">
        <v>414</v>
      </c>
      <c r="M3" s="78" t="s">
        <v>415</v>
      </c>
    </row>
    <row r="4">
      <c r="A4" s="84"/>
      <c r="B4" s="26" t="s">
        <v>416</v>
      </c>
      <c r="C4" s="26" t="s">
        <v>417</v>
      </c>
      <c r="D4" s="26" t="s">
        <v>418</v>
      </c>
      <c r="E4" s="26" t="s">
        <v>90</v>
      </c>
      <c r="F4" s="26" t="s">
        <v>419</v>
      </c>
      <c r="G4" s="26" t="s">
        <v>420</v>
      </c>
      <c r="H4" s="26" t="s">
        <v>421</v>
      </c>
      <c r="I4" s="26" t="s">
        <v>422</v>
      </c>
      <c r="J4" s="26" t="s">
        <v>423</v>
      </c>
      <c r="K4" s="26" t="s">
        <v>424</v>
      </c>
      <c r="L4" s="26" t="s">
        <v>425</v>
      </c>
      <c r="M4" s="26" t="s">
        <v>426</v>
      </c>
    </row>
    <row r="5">
      <c r="A5" s="84"/>
      <c r="B5" s="26" t="s">
        <v>416</v>
      </c>
      <c r="C5" s="26" t="s">
        <v>417</v>
      </c>
      <c r="D5" s="26" t="s">
        <v>418</v>
      </c>
      <c r="E5" s="26" t="s">
        <v>90</v>
      </c>
      <c r="F5" s="26" t="s">
        <v>419</v>
      </c>
      <c r="G5" s="26" t="s">
        <v>420</v>
      </c>
      <c r="H5" s="26" t="s">
        <v>421</v>
      </c>
      <c r="I5" s="26" t="s">
        <v>427</v>
      </c>
      <c r="J5" s="26" t="s">
        <v>428</v>
      </c>
      <c r="K5" s="26" t="s">
        <v>424</v>
      </c>
      <c r="L5" s="26" t="s">
        <v>429</v>
      </c>
      <c r="M5" s="26" t="s">
        <v>426</v>
      </c>
    </row>
    <row r="6">
      <c r="A6" s="84"/>
      <c r="B6" s="26" t="s">
        <v>416</v>
      </c>
      <c r="C6" s="26" t="s">
        <v>417</v>
      </c>
      <c r="D6" s="26" t="s">
        <v>418</v>
      </c>
      <c r="E6" s="26" t="s">
        <v>90</v>
      </c>
      <c r="F6" s="26" t="s">
        <v>419</v>
      </c>
      <c r="G6" s="26" t="s">
        <v>420</v>
      </c>
      <c r="H6" s="26" t="s">
        <v>421</v>
      </c>
      <c r="I6" s="26" t="s">
        <v>430</v>
      </c>
      <c r="J6" s="26" t="s">
        <v>289</v>
      </c>
      <c r="K6" s="26" t="s">
        <v>431</v>
      </c>
      <c r="L6" s="26" t="s">
        <v>432</v>
      </c>
      <c r="M6" s="26" t="s">
        <v>426</v>
      </c>
    </row>
    <row r="7">
      <c r="A7" s="84"/>
      <c r="B7" s="26" t="s">
        <v>416</v>
      </c>
      <c r="C7" s="26" t="s">
        <v>417</v>
      </c>
      <c r="D7" s="26" t="s">
        <v>418</v>
      </c>
      <c r="E7" s="26" t="s">
        <v>90</v>
      </c>
      <c r="F7" s="26" t="s">
        <v>419</v>
      </c>
      <c r="G7" s="26" t="s">
        <v>420</v>
      </c>
      <c r="H7" s="26" t="s">
        <v>421</v>
      </c>
      <c r="I7" s="26" t="s">
        <v>433</v>
      </c>
      <c r="J7" s="26" t="s">
        <v>434</v>
      </c>
      <c r="K7" s="26" t="s">
        <v>431</v>
      </c>
      <c r="L7" s="26" t="s">
        <v>435</v>
      </c>
      <c r="M7" s="26" t="s">
        <v>426</v>
      </c>
    </row>
    <row r="8">
      <c r="A8" s="84"/>
      <c r="B8" s="26" t="s">
        <v>416</v>
      </c>
      <c r="C8" s="26" t="s">
        <v>417</v>
      </c>
      <c r="D8" s="26" t="s">
        <v>418</v>
      </c>
      <c r="E8" s="26" t="s">
        <v>90</v>
      </c>
      <c r="F8" s="26" t="s">
        <v>419</v>
      </c>
      <c r="G8" s="26" t="s">
        <v>420</v>
      </c>
      <c r="H8" s="26" t="s">
        <v>421</v>
      </c>
      <c r="I8" s="26" t="s">
        <v>436</v>
      </c>
      <c r="J8" s="26" t="s">
        <v>437</v>
      </c>
      <c r="K8" s="26" t="s">
        <v>431</v>
      </c>
      <c r="L8" s="26" t="s">
        <v>438</v>
      </c>
      <c r="M8" s="26" t="s">
        <v>426</v>
      </c>
    </row>
    <row r="9">
      <c r="A9" s="84"/>
      <c r="B9" s="26" t="s">
        <v>416</v>
      </c>
      <c r="C9" s="26" t="s">
        <v>417</v>
      </c>
      <c r="D9" s="26" t="s">
        <v>418</v>
      </c>
      <c r="E9" s="26" t="s">
        <v>90</v>
      </c>
      <c r="F9" s="26" t="s">
        <v>419</v>
      </c>
      <c r="G9" s="26" t="s">
        <v>420</v>
      </c>
      <c r="H9" s="26" t="s">
        <v>421</v>
      </c>
      <c r="I9" s="26" t="s">
        <v>439</v>
      </c>
      <c r="J9" s="26" t="s">
        <v>440</v>
      </c>
      <c r="K9" s="26" t="s">
        <v>441</v>
      </c>
      <c r="L9" s="26" t="s">
        <v>442</v>
      </c>
      <c r="M9" s="26" t="s">
        <v>426</v>
      </c>
    </row>
    <row r="10">
      <c r="A10" s="84"/>
      <c r="B10" s="26" t="s">
        <v>416</v>
      </c>
      <c r="C10" s="26" t="s">
        <v>417</v>
      </c>
      <c r="D10" s="26" t="s">
        <v>418</v>
      </c>
      <c r="E10" s="26" t="s">
        <v>90</v>
      </c>
      <c r="F10" s="26" t="s">
        <v>419</v>
      </c>
      <c r="G10" s="26" t="s">
        <v>420</v>
      </c>
      <c r="H10" s="26" t="s">
        <v>421</v>
      </c>
      <c r="I10" s="26" t="s">
        <v>443</v>
      </c>
      <c r="J10" s="26" t="s">
        <v>444</v>
      </c>
      <c r="K10" s="26" t="s">
        <v>441</v>
      </c>
      <c r="L10" s="26" t="s">
        <v>445</v>
      </c>
      <c r="M10" s="26" t="s">
        <v>426</v>
      </c>
    </row>
    <row r="11">
      <c r="A11" s="84"/>
      <c r="B11" s="26" t="s">
        <v>416</v>
      </c>
      <c r="C11" s="26" t="s">
        <v>417</v>
      </c>
      <c r="D11" s="26" t="s">
        <v>418</v>
      </c>
      <c r="E11" s="26" t="s">
        <v>90</v>
      </c>
      <c r="F11" s="26" t="s">
        <v>419</v>
      </c>
      <c r="G11" s="26" t="s">
        <v>420</v>
      </c>
      <c r="H11" s="26" t="s">
        <v>421</v>
      </c>
      <c r="I11" s="26" t="s">
        <v>446</v>
      </c>
      <c r="J11" s="26" t="s">
        <v>447</v>
      </c>
      <c r="K11" s="26" t="s">
        <v>441</v>
      </c>
      <c r="L11" s="26" t="s">
        <v>448</v>
      </c>
      <c r="M11" s="26" t="s">
        <v>426</v>
      </c>
    </row>
    <row r="12">
      <c r="A12" s="84"/>
      <c r="B12" s="26" t="s">
        <v>416</v>
      </c>
      <c r="C12" s="26" t="s">
        <v>417</v>
      </c>
      <c r="D12" s="26" t="s">
        <v>418</v>
      </c>
      <c r="E12" s="26" t="s">
        <v>90</v>
      </c>
      <c r="F12" s="26" t="s">
        <v>419</v>
      </c>
      <c r="G12" s="26" t="s">
        <v>420</v>
      </c>
      <c r="H12" s="26" t="s">
        <v>421</v>
      </c>
      <c r="I12" s="26" t="s">
        <v>449</v>
      </c>
      <c r="J12" s="26" t="s">
        <v>450</v>
      </c>
      <c r="K12" s="26" t="s">
        <v>451</v>
      </c>
      <c r="L12" s="26" t="s">
        <v>452</v>
      </c>
      <c r="M12" s="26" t="s">
        <v>426</v>
      </c>
    </row>
    <row r="13">
      <c r="A13" s="84"/>
      <c r="B13" s="26" t="s">
        <v>416</v>
      </c>
      <c r="C13" s="26" t="s">
        <v>417</v>
      </c>
      <c r="D13" s="26" t="s">
        <v>418</v>
      </c>
      <c r="E13" s="26" t="s">
        <v>90</v>
      </c>
      <c r="F13" s="26" t="s">
        <v>419</v>
      </c>
      <c r="G13" s="26" t="s">
        <v>420</v>
      </c>
      <c r="H13" s="26" t="s">
        <v>421</v>
      </c>
      <c r="I13" s="26" t="s">
        <v>453</v>
      </c>
      <c r="J13" s="26" t="s">
        <v>454</v>
      </c>
      <c r="K13" s="26" t="s">
        <v>455</v>
      </c>
      <c r="L13" s="26" t="s">
        <v>456</v>
      </c>
      <c r="M13" s="26" t="s">
        <v>426</v>
      </c>
    </row>
    <row r="14">
      <c r="A14" s="84"/>
      <c r="B14" s="26" t="s">
        <v>416</v>
      </c>
      <c r="C14" s="26" t="s">
        <v>417</v>
      </c>
      <c r="D14" s="26" t="s">
        <v>418</v>
      </c>
      <c r="E14" s="26" t="s">
        <v>90</v>
      </c>
      <c r="F14" s="26" t="s">
        <v>419</v>
      </c>
      <c r="G14" s="26" t="s">
        <v>420</v>
      </c>
      <c r="H14" s="26" t="s">
        <v>421</v>
      </c>
      <c r="I14" s="26" t="s">
        <v>457</v>
      </c>
      <c r="J14" s="26" t="s">
        <v>458</v>
      </c>
      <c r="K14" s="26" t="s">
        <v>459</v>
      </c>
      <c r="L14" s="26" t="s">
        <v>460</v>
      </c>
      <c r="M14" s="26" t="s">
        <v>426</v>
      </c>
    </row>
    <row r="15">
      <c r="A15" s="84"/>
      <c r="B15" s="26" t="s">
        <v>416</v>
      </c>
      <c r="C15" s="26" t="s">
        <v>417</v>
      </c>
      <c r="D15" s="26" t="s">
        <v>418</v>
      </c>
      <c r="E15" s="26" t="s">
        <v>90</v>
      </c>
      <c r="F15" s="26" t="s">
        <v>419</v>
      </c>
      <c r="G15" s="26" t="s">
        <v>420</v>
      </c>
      <c r="H15" s="26" t="s">
        <v>421</v>
      </c>
      <c r="I15" s="26" t="s">
        <v>461</v>
      </c>
      <c r="J15" s="26" t="s">
        <v>462</v>
      </c>
      <c r="K15" s="26" t="s">
        <v>463</v>
      </c>
      <c r="L15" s="26" t="s">
        <v>432</v>
      </c>
      <c r="M15" s="26" t="s">
        <v>426</v>
      </c>
    </row>
    <row r="16">
      <c r="A16" s="84"/>
      <c r="B16" s="26" t="s">
        <v>416</v>
      </c>
      <c r="C16" s="26" t="s">
        <v>417</v>
      </c>
      <c r="D16" s="26" t="s">
        <v>418</v>
      </c>
      <c r="E16" s="26" t="s">
        <v>90</v>
      </c>
      <c r="F16" s="26" t="s">
        <v>419</v>
      </c>
      <c r="G16" s="26" t="s">
        <v>420</v>
      </c>
      <c r="H16" s="26" t="s">
        <v>421</v>
      </c>
      <c r="I16" s="26" t="s">
        <v>464</v>
      </c>
      <c r="J16" s="26" t="s">
        <v>465</v>
      </c>
      <c r="K16" s="26" t="s">
        <v>466</v>
      </c>
      <c r="L16" s="26" t="s">
        <v>467</v>
      </c>
      <c r="M16" s="26" t="s">
        <v>426</v>
      </c>
    </row>
    <row r="17">
      <c r="A17" s="84"/>
      <c r="B17" s="26" t="s">
        <v>416</v>
      </c>
      <c r="C17" s="26" t="s">
        <v>417</v>
      </c>
      <c r="D17" s="26" t="s">
        <v>418</v>
      </c>
      <c r="E17" s="26" t="s">
        <v>90</v>
      </c>
      <c r="F17" s="26" t="s">
        <v>419</v>
      </c>
      <c r="G17" s="26" t="s">
        <v>420</v>
      </c>
      <c r="H17" s="26" t="s">
        <v>421</v>
      </c>
      <c r="I17" s="26" t="s">
        <v>468</v>
      </c>
      <c r="J17" s="26" t="s">
        <v>469</v>
      </c>
      <c r="K17" s="26" t="s">
        <v>466</v>
      </c>
      <c r="L17" s="26" t="s">
        <v>470</v>
      </c>
      <c r="M17" s="26" t="s">
        <v>426</v>
      </c>
    </row>
    <row r="18">
      <c r="A18" s="84"/>
      <c r="B18" s="26" t="s">
        <v>416</v>
      </c>
      <c r="C18" s="26" t="s">
        <v>417</v>
      </c>
      <c r="D18" s="26" t="s">
        <v>418</v>
      </c>
      <c r="E18" s="26" t="s">
        <v>90</v>
      </c>
      <c r="F18" s="26" t="s">
        <v>419</v>
      </c>
      <c r="G18" s="26" t="s">
        <v>420</v>
      </c>
      <c r="H18" s="26" t="s">
        <v>421</v>
      </c>
      <c r="I18" s="26" t="s">
        <v>471</v>
      </c>
      <c r="J18" s="26" t="s">
        <v>472</v>
      </c>
      <c r="K18" s="26" t="s">
        <v>473</v>
      </c>
      <c r="L18" s="26" t="s">
        <v>474</v>
      </c>
      <c r="M18" s="26" t="s">
        <v>426</v>
      </c>
    </row>
    <row r="19">
      <c r="A19" s="84"/>
      <c r="B19" s="26" t="s">
        <v>416</v>
      </c>
      <c r="C19" s="26" t="s">
        <v>417</v>
      </c>
      <c r="D19" s="26" t="s">
        <v>418</v>
      </c>
      <c r="E19" s="26" t="s">
        <v>90</v>
      </c>
      <c r="F19" s="26" t="s">
        <v>419</v>
      </c>
      <c r="G19" s="26" t="s">
        <v>420</v>
      </c>
      <c r="H19" s="26" t="s">
        <v>421</v>
      </c>
      <c r="I19" s="26" t="s">
        <v>475</v>
      </c>
      <c r="J19" s="26" t="s">
        <v>476</v>
      </c>
      <c r="K19" s="26" t="s">
        <v>477</v>
      </c>
      <c r="L19" s="26" t="s">
        <v>478</v>
      </c>
      <c r="M19" s="26" t="s">
        <v>426</v>
      </c>
    </row>
    <row r="20">
      <c r="A20" s="84"/>
      <c r="B20" s="26" t="s">
        <v>416</v>
      </c>
      <c r="C20" s="26" t="s">
        <v>417</v>
      </c>
      <c r="D20" s="26" t="s">
        <v>418</v>
      </c>
      <c r="E20" s="26" t="s">
        <v>90</v>
      </c>
      <c r="F20" s="26" t="s">
        <v>419</v>
      </c>
      <c r="G20" s="26" t="s">
        <v>420</v>
      </c>
      <c r="H20" s="26" t="s">
        <v>421</v>
      </c>
      <c r="I20" s="26" t="s">
        <v>479</v>
      </c>
      <c r="J20" s="26" t="s">
        <v>480</v>
      </c>
      <c r="K20" s="26" t="s">
        <v>481</v>
      </c>
      <c r="L20" s="26" t="s">
        <v>482</v>
      </c>
      <c r="M20" s="26" t="s">
        <v>426</v>
      </c>
    </row>
    <row r="21">
      <c r="A21" s="84"/>
      <c r="B21" s="26" t="s">
        <v>416</v>
      </c>
      <c r="C21" s="26" t="s">
        <v>417</v>
      </c>
      <c r="D21" s="26" t="s">
        <v>418</v>
      </c>
      <c r="E21" s="26" t="s">
        <v>90</v>
      </c>
      <c r="F21" s="26" t="s">
        <v>419</v>
      </c>
      <c r="G21" s="26" t="s">
        <v>420</v>
      </c>
      <c r="H21" s="26" t="s">
        <v>421</v>
      </c>
      <c r="I21" s="26" t="s">
        <v>483</v>
      </c>
      <c r="J21" s="26" t="s">
        <v>484</v>
      </c>
      <c r="K21" s="26" t="s">
        <v>485</v>
      </c>
      <c r="L21" s="26" t="s">
        <v>293</v>
      </c>
      <c r="M21" s="26" t="s">
        <v>426</v>
      </c>
    </row>
    <row r="22">
      <c r="A22" s="84"/>
      <c r="B22" s="26" t="s">
        <v>416</v>
      </c>
      <c r="C22" s="26" t="s">
        <v>417</v>
      </c>
      <c r="D22" s="26" t="s">
        <v>418</v>
      </c>
      <c r="E22" s="26" t="s">
        <v>90</v>
      </c>
      <c r="F22" s="26" t="s">
        <v>419</v>
      </c>
      <c r="G22" s="26" t="s">
        <v>420</v>
      </c>
      <c r="H22" s="26" t="s">
        <v>421</v>
      </c>
      <c r="I22" s="26" t="s">
        <v>486</v>
      </c>
      <c r="J22" s="26" t="s">
        <v>487</v>
      </c>
      <c r="K22" s="26" t="s">
        <v>488</v>
      </c>
      <c r="L22" s="26" t="s">
        <v>489</v>
      </c>
      <c r="M22" s="26" t="s">
        <v>426</v>
      </c>
    </row>
    <row r="23">
      <c r="A23" s="84"/>
      <c r="B23" s="26" t="s">
        <v>416</v>
      </c>
      <c r="C23" s="26" t="s">
        <v>417</v>
      </c>
      <c r="D23" s="26" t="s">
        <v>418</v>
      </c>
      <c r="E23" s="26" t="s">
        <v>90</v>
      </c>
      <c r="F23" s="26" t="s">
        <v>419</v>
      </c>
      <c r="G23" s="26" t="s">
        <v>420</v>
      </c>
      <c r="H23" s="26" t="s">
        <v>421</v>
      </c>
      <c r="I23" s="26" t="s">
        <v>490</v>
      </c>
      <c r="J23" s="26" t="s">
        <v>491</v>
      </c>
      <c r="K23" s="26" t="s">
        <v>492</v>
      </c>
      <c r="L23" s="26" t="s">
        <v>478</v>
      </c>
      <c r="M23" s="26" t="s">
        <v>426</v>
      </c>
    </row>
    <row r="24">
      <c r="A24" s="84"/>
      <c r="B24" s="26" t="s">
        <v>416</v>
      </c>
      <c r="C24" s="26" t="s">
        <v>417</v>
      </c>
      <c r="D24" s="26" t="s">
        <v>418</v>
      </c>
      <c r="E24" s="26" t="s">
        <v>90</v>
      </c>
      <c r="F24" s="26" t="s">
        <v>419</v>
      </c>
      <c r="G24" s="26" t="s">
        <v>420</v>
      </c>
      <c r="H24" s="26" t="s">
        <v>421</v>
      </c>
      <c r="I24" s="26" t="s">
        <v>493</v>
      </c>
      <c r="J24" s="26" t="s">
        <v>494</v>
      </c>
      <c r="K24" s="26" t="s">
        <v>495</v>
      </c>
      <c r="L24" s="26" t="s">
        <v>293</v>
      </c>
      <c r="M24" s="26" t="s">
        <v>426</v>
      </c>
    </row>
    <row r="25">
      <c r="A25" s="84"/>
      <c r="B25" s="26" t="s">
        <v>416</v>
      </c>
      <c r="C25" s="26" t="s">
        <v>417</v>
      </c>
      <c r="D25" s="26" t="s">
        <v>418</v>
      </c>
      <c r="E25" s="26" t="s">
        <v>90</v>
      </c>
      <c r="F25" s="26" t="s">
        <v>419</v>
      </c>
      <c r="G25" s="26" t="s">
        <v>420</v>
      </c>
      <c r="H25" s="26" t="s">
        <v>421</v>
      </c>
      <c r="I25" s="26" t="s">
        <v>496</v>
      </c>
      <c r="J25" s="26" t="s">
        <v>497</v>
      </c>
      <c r="K25" s="26" t="s">
        <v>498</v>
      </c>
      <c r="L25" s="26" t="s">
        <v>499</v>
      </c>
      <c r="M25" s="26" t="s">
        <v>426</v>
      </c>
    </row>
    <row r="26">
      <c r="A26" s="84"/>
    </row>
  </sheetData>
  <mergeCells count="1">
    <mergeCell ref="B1:M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38.88"/>
    <col customWidth="1" min="3" max="3" width="18.63"/>
  </cols>
  <sheetData>
    <row r="1">
      <c r="A1" s="85" t="s">
        <v>500</v>
      </c>
      <c r="B1" s="2"/>
      <c r="C1" s="2"/>
      <c r="D1" s="2"/>
      <c r="E1" s="2"/>
      <c r="F1" s="2"/>
      <c r="G1" s="2"/>
      <c r="H1" s="3"/>
      <c r="I1" s="86"/>
      <c r="J1" s="86"/>
      <c r="K1" s="86"/>
      <c r="L1" s="86"/>
      <c r="M1" s="86"/>
      <c r="N1" s="86"/>
      <c r="O1" s="86"/>
      <c r="P1" s="86"/>
      <c r="Q1" s="86"/>
      <c r="R1" s="86"/>
      <c r="S1" s="86"/>
      <c r="T1" s="86"/>
      <c r="U1" s="86"/>
      <c r="V1" s="86"/>
      <c r="W1" s="86"/>
      <c r="X1" s="86"/>
      <c r="Y1" s="86"/>
      <c r="Z1" s="86"/>
      <c r="AA1" s="86"/>
    </row>
    <row r="2">
      <c r="A2" s="86"/>
      <c r="B2" s="86"/>
      <c r="C2" s="86"/>
      <c r="D2" s="86"/>
      <c r="E2" s="86"/>
      <c r="F2" s="86"/>
      <c r="G2" s="86"/>
      <c r="H2" s="86"/>
      <c r="I2" s="86"/>
      <c r="J2" s="86"/>
      <c r="K2" s="86"/>
      <c r="L2" s="86"/>
      <c r="M2" s="86"/>
      <c r="N2" s="86"/>
      <c r="O2" s="86"/>
      <c r="P2" s="86"/>
      <c r="Q2" s="86"/>
      <c r="R2" s="86"/>
      <c r="S2" s="86"/>
      <c r="T2" s="86"/>
      <c r="U2" s="86"/>
      <c r="V2" s="86"/>
      <c r="W2" s="86"/>
      <c r="X2" s="86"/>
      <c r="Y2" s="86"/>
      <c r="Z2" s="86"/>
      <c r="AA2" s="86"/>
    </row>
    <row r="3">
      <c r="A3" s="86"/>
      <c r="B3" s="87" t="s">
        <v>501</v>
      </c>
      <c r="C3" s="88"/>
      <c r="D3" s="86"/>
      <c r="E3" s="86"/>
      <c r="F3" s="86"/>
      <c r="G3" s="86"/>
      <c r="H3" s="86"/>
      <c r="I3" s="86"/>
      <c r="J3" s="86"/>
      <c r="K3" s="86"/>
      <c r="L3" s="86"/>
      <c r="M3" s="86"/>
      <c r="N3" s="86"/>
      <c r="O3" s="86"/>
      <c r="P3" s="86"/>
      <c r="Q3" s="86"/>
      <c r="R3" s="86"/>
      <c r="S3" s="86"/>
      <c r="T3" s="86"/>
      <c r="U3" s="86"/>
      <c r="V3" s="86"/>
      <c r="W3" s="86"/>
      <c r="X3" s="86"/>
      <c r="Y3" s="86"/>
      <c r="Z3" s="86"/>
      <c r="AA3" s="86"/>
    </row>
    <row r="4">
      <c r="A4" s="86"/>
      <c r="B4" s="86"/>
      <c r="C4" s="86"/>
      <c r="D4" s="86"/>
      <c r="E4" s="86"/>
      <c r="F4" s="86"/>
      <c r="G4" s="86"/>
      <c r="H4" s="86"/>
      <c r="I4" s="86"/>
      <c r="J4" s="86"/>
      <c r="K4" s="86"/>
      <c r="L4" s="86"/>
      <c r="M4" s="86"/>
      <c r="N4" s="86"/>
      <c r="O4" s="86"/>
      <c r="P4" s="86"/>
      <c r="Q4" s="86"/>
      <c r="R4" s="86"/>
      <c r="S4" s="86"/>
      <c r="T4" s="86"/>
      <c r="U4" s="86"/>
      <c r="V4" s="86"/>
      <c r="W4" s="86"/>
      <c r="X4" s="86"/>
      <c r="Y4" s="86"/>
      <c r="Z4" s="86"/>
      <c r="AA4" s="86"/>
    </row>
    <row r="5">
      <c r="A5" s="86"/>
      <c r="B5" s="89" t="s">
        <v>502</v>
      </c>
      <c r="C5" s="90">
        <v>7296932.59</v>
      </c>
      <c r="D5" s="86"/>
      <c r="E5" s="86"/>
      <c r="F5" s="86"/>
      <c r="G5" s="86"/>
      <c r="H5" s="86"/>
      <c r="I5" s="86"/>
      <c r="J5" s="86"/>
      <c r="K5" s="86"/>
      <c r="L5" s="86"/>
      <c r="M5" s="86"/>
      <c r="N5" s="86"/>
      <c r="O5" s="86"/>
      <c r="P5" s="86"/>
      <c r="Q5" s="86"/>
      <c r="R5" s="86"/>
      <c r="S5" s="86"/>
      <c r="T5" s="86"/>
      <c r="U5" s="86"/>
      <c r="V5" s="86"/>
      <c r="W5" s="86"/>
      <c r="X5" s="86"/>
      <c r="Y5" s="86"/>
      <c r="Z5" s="86"/>
      <c r="AA5" s="86"/>
    </row>
    <row r="6">
      <c r="A6" s="86"/>
      <c r="B6" s="89" t="s">
        <v>503</v>
      </c>
      <c r="C6" s="90">
        <v>-1015442.42</v>
      </c>
      <c r="D6" s="86"/>
      <c r="E6" s="86"/>
      <c r="F6" s="86"/>
      <c r="G6" s="86"/>
      <c r="H6" s="86"/>
      <c r="I6" s="86"/>
      <c r="J6" s="86"/>
      <c r="K6" s="86"/>
      <c r="L6" s="86"/>
      <c r="M6" s="86"/>
      <c r="N6" s="86"/>
      <c r="O6" s="86"/>
      <c r="P6" s="86"/>
      <c r="Q6" s="86"/>
      <c r="R6" s="86"/>
      <c r="S6" s="86"/>
      <c r="T6" s="86"/>
      <c r="U6" s="86"/>
      <c r="V6" s="86"/>
      <c r="W6" s="86"/>
      <c r="X6" s="86"/>
      <c r="Y6" s="86"/>
      <c r="Z6" s="86"/>
      <c r="AA6" s="86"/>
    </row>
    <row r="7">
      <c r="A7" s="86"/>
      <c r="B7" s="89" t="s">
        <v>504</v>
      </c>
      <c r="C7" s="91">
        <v>-2.270308119</v>
      </c>
      <c r="D7" s="86"/>
      <c r="E7" s="86"/>
      <c r="F7" s="86"/>
      <c r="G7" s="86"/>
      <c r="H7" s="86"/>
      <c r="I7" s="86"/>
      <c r="J7" s="86"/>
      <c r="K7" s="86"/>
      <c r="L7" s="86"/>
      <c r="M7" s="86"/>
      <c r="N7" s="86"/>
      <c r="O7" s="86"/>
      <c r="P7" s="86"/>
      <c r="Q7" s="86"/>
      <c r="R7" s="86"/>
      <c r="S7" s="86"/>
      <c r="T7" s="86"/>
      <c r="U7" s="86"/>
      <c r="V7" s="86"/>
      <c r="W7" s="86"/>
      <c r="X7" s="86"/>
      <c r="Y7" s="86"/>
      <c r="Z7" s="86"/>
      <c r="AA7" s="86"/>
    </row>
    <row r="8">
      <c r="A8" s="86"/>
      <c r="B8" s="89" t="s">
        <v>505</v>
      </c>
      <c r="C8" s="91">
        <v>0.3649875764</v>
      </c>
      <c r="D8" s="86"/>
      <c r="E8" s="86"/>
      <c r="F8" s="86"/>
      <c r="G8" s="86"/>
      <c r="H8" s="86"/>
      <c r="I8" s="86"/>
      <c r="J8" s="86"/>
      <c r="K8" s="86"/>
      <c r="L8" s="86"/>
      <c r="M8" s="86"/>
      <c r="N8" s="86"/>
      <c r="O8" s="86"/>
      <c r="P8" s="86"/>
      <c r="Q8" s="86"/>
      <c r="R8" s="86"/>
      <c r="S8" s="86"/>
      <c r="T8" s="86"/>
      <c r="U8" s="86"/>
      <c r="V8" s="86"/>
      <c r="W8" s="86"/>
      <c r="X8" s="86"/>
      <c r="Y8" s="86"/>
      <c r="Z8" s="86"/>
      <c r="AA8" s="86"/>
    </row>
    <row r="9">
      <c r="A9" s="86"/>
      <c r="B9" s="89" t="s">
        <v>506</v>
      </c>
      <c r="C9" s="91">
        <v>0.3764546842</v>
      </c>
      <c r="D9" s="86"/>
      <c r="E9" s="86"/>
      <c r="F9" s="86"/>
      <c r="G9" s="86"/>
      <c r="H9" s="86"/>
      <c r="I9" s="86"/>
      <c r="J9" s="86"/>
      <c r="K9" s="86"/>
      <c r="L9" s="86"/>
      <c r="M9" s="86"/>
      <c r="N9" s="86"/>
      <c r="O9" s="86"/>
      <c r="P9" s="86"/>
      <c r="Q9" s="86"/>
      <c r="R9" s="86"/>
      <c r="S9" s="86"/>
      <c r="T9" s="86"/>
      <c r="U9" s="86"/>
      <c r="V9" s="86"/>
      <c r="W9" s="86"/>
      <c r="X9" s="86"/>
      <c r="Y9" s="86"/>
      <c r="Z9" s="86"/>
      <c r="AA9" s="86"/>
    </row>
    <row r="10">
      <c r="A10" s="86"/>
      <c r="B10" s="89" t="s">
        <v>507</v>
      </c>
      <c r="C10" s="91">
        <v>0.5</v>
      </c>
      <c r="D10" s="86"/>
      <c r="E10" s="86"/>
      <c r="F10" s="86"/>
      <c r="G10" s="86"/>
      <c r="H10" s="86"/>
      <c r="I10" s="86"/>
      <c r="J10" s="86"/>
      <c r="K10" s="86"/>
      <c r="L10" s="86"/>
      <c r="M10" s="86"/>
      <c r="N10" s="86"/>
      <c r="O10" s="86"/>
      <c r="P10" s="86"/>
      <c r="Q10" s="86"/>
      <c r="R10" s="86"/>
      <c r="S10" s="86"/>
      <c r="T10" s="86"/>
      <c r="U10" s="86"/>
      <c r="V10" s="86"/>
      <c r="W10" s="86"/>
      <c r="X10" s="86"/>
      <c r="Y10" s="86"/>
      <c r="Z10" s="86"/>
      <c r="AA10" s="86"/>
    </row>
    <row r="11">
      <c r="A11" s="86"/>
      <c r="B11" s="89" t="s">
        <v>508</v>
      </c>
      <c r="C11" s="91">
        <v>6.0</v>
      </c>
      <c r="D11" s="86"/>
      <c r="E11" s="86"/>
      <c r="F11" s="86"/>
      <c r="G11" s="86"/>
      <c r="H11" s="86"/>
      <c r="I11" s="86"/>
      <c r="J11" s="86"/>
      <c r="K11" s="86"/>
      <c r="L11" s="86"/>
      <c r="M11" s="86"/>
      <c r="N11" s="86"/>
      <c r="O11" s="86"/>
      <c r="P11" s="86"/>
      <c r="Q11" s="86"/>
      <c r="R11" s="86"/>
      <c r="S11" s="86"/>
      <c r="T11" s="86"/>
      <c r="U11" s="86"/>
      <c r="V11" s="86"/>
      <c r="W11" s="86"/>
      <c r="X11" s="86"/>
      <c r="Y11" s="86"/>
      <c r="Z11" s="86"/>
      <c r="AA11" s="86"/>
    </row>
    <row r="12">
      <c r="A12" s="86"/>
      <c r="B12" s="89" t="s">
        <v>509</v>
      </c>
      <c r="C12" s="91">
        <v>6.0</v>
      </c>
      <c r="D12" s="86"/>
      <c r="E12" s="86"/>
      <c r="F12" s="86"/>
      <c r="G12" s="86"/>
      <c r="H12" s="86"/>
      <c r="I12" s="86"/>
      <c r="J12" s="86"/>
      <c r="K12" s="86"/>
      <c r="L12" s="86"/>
      <c r="M12" s="86"/>
      <c r="N12" s="86"/>
      <c r="O12" s="86"/>
      <c r="P12" s="86"/>
      <c r="Q12" s="86"/>
      <c r="R12" s="86"/>
      <c r="S12" s="86"/>
      <c r="T12" s="86"/>
      <c r="U12" s="86"/>
      <c r="V12" s="86"/>
      <c r="W12" s="86"/>
      <c r="X12" s="86"/>
      <c r="Y12" s="86"/>
      <c r="Z12" s="86"/>
      <c r="AA12" s="86"/>
    </row>
    <row r="13">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row>
    <row r="14">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c r="AA14" s="86"/>
    </row>
    <row r="15">
      <c r="A15" s="86"/>
      <c r="B15" s="87" t="s">
        <v>510</v>
      </c>
      <c r="D15" s="86"/>
      <c r="E15" s="86"/>
      <c r="F15" s="86"/>
      <c r="G15" s="86"/>
      <c r="H15" s="86"/>
      <c r="I15" s="86"/>
      <c r="J15" s="86"/>
      <c r="K15" s="86"/>
      <c r="L15" s="86"/>
      <c r="M15" s="86"/>
      <c r="N15" s="86"/>
      <c r="O15" s="86"/>
      <c r="P15" s="86"/>
      <c r="Q15" s="86"/>
      <c r="R15" s="86"/>
      <c r="S15" s="86"/>
      <c r="T15" s="86"/>
      <c r="U15" s="86"/>
      <c r="V15" s="86"/>
      <c r="W15" s="86"/>
      <c r="X15" s="86"/>
      <c r="Y15" s="86"/>
      <c r="Z15" s="86"/>
      <c r="AA15" s="86"/>
    </row>
    <row r="16">
      <c r="A16" s="86"/>
      <c r="B16" s="92"/>
      <c r="C16" s="93"/>
      <c r="D16" s="86"/>
      <c r="E16" s="86"/>
      <c r="F16" s="86"/>
      <c r="G16" s="86"/>
      <c r="H16" s="86"/>
      <c r="I16" s="86"/>
      <c r="J16" s="86"/>
      <c r="K16" s="86"/>
      <c r="L16" s="86"/>
      <c r="M16" s="86"/>
      <c r="N16" s="86"/>
      <c r="O16" s="86"/>
      <c r="P16" s="86"/>
      <c r="Q16" s="86"/>
      <c r="R16" s="86"/>
      <c r="S16" s="86"/>
      <c r="T16" s="86"/>
      <c r="U16" s="86"/>
      <c r="V16" s="86"/>
      <c r="W16" s="86"/>
      <c r="X16" s="86"/>
      <c r="Y16" s="86"/>
      <c r="Z16" s="86"/>
      <c r="AA16" s="86"/>
    </row>
    <row r="17">
      <c r="A17" s="86"/>
      <c r="B17" s="92" t="s">
        <v>511</v>
      </c>
      <c r="C17" s="94">
        <v>443794.13</v>
      </c>
      <c r="D17" s="86"/>
      <c r="E17" s="86"/>
      <c r="F17" s="86"/>
      <c r="G17" s="86"/>
      <c r="H17" s="86"/>
      <c r="I17" s="86"/>
      <c r="J17" s="86"/>
      <c r="K17" s="86"/>
      <c r="L17" s="86"/>
      <c r="M17" s="86"/>
      <c r="N17" s="86"/>
      <c r="O17" s="86"/>
      <c r="P17" s="86"/>
      <c r="Q17" s="86"/>
      <c r="R17" s="86"/>
      <c r="S17" s="86"/>
      <c r="T17" s="86"/>
      <c r="U17" s="86"/>
      <c r="V17" s="86"/>
      <c r="W17" s="86"/>
      <c r="X17" s="86"/>
      <c r="Y17" s="86"/>
      <c r="Z17" s="86"/>
      <c r="AA17" s="86"/>
    </row>
    <row r="18">
      <c r="A18" s="86"/>
      <c r="B18" s="92" t="s">
        <v>512</v>
      </c>
      <c r="C18" s="94">
        <v>347885.12</v>
      </c>
      <c r="D18" s="86"/>
      <c r="E18" s="86"/>
      <c r="F18" s="86"/>
      <c r="G18" s="86"/>
      <c r="H18" s="86"/>
      <c r="I18" s="86"/>
      <c r="J18" s="86"/>
      <c r="K18" s="86"/>
      <c r="L18" s="86"/>
      <c r="M18" s="86"/>
      <c r="N18" s="86"/>
      <c r="O18" s="86"/>
      <c r="P18" s="86"/>
      <c r="Q18" s="86"/>
      <c r="R18" s="86"/>
      <c r="S18" s="86"/>
      <c r="T18" s="86"/>
      <c r="U18" s="86"/>
      <c r="V18" s="86"/>
      <c r="W18" s="86"/>
      <c r="X18" s="86"/>
      <c r="Y18" s="86"/>
      <c r="Z18" s="86"/>
      <c r="AA18" s="86"/>
    </row>
    <row r="19">
      <c r="A19" s="86"/>
      <c r="B19" s="92" t="s">
        <v>513</v>
      </c>
      <c r="C19" s="94">
        <v>513189.34</v>
      </c>
      <c r="D19" s="86"/>
      <c r="E19" s="86"/>
      <c r="F19" s="86"/>
      <c r="G19" s="86"/>
      <c r="H19" s="86"/>
      <c r="I19" s="86"/>
      <c r="J19" s="86"/>
      <c r="K19" s="86"/>
      <c r="L19" s="86"/>
      <c r="M19" s="86"/>
      <c r="N19" s="86"/>
      <c r="O19" s="86"/>
      <c r="P19" s="86"/>
      <c r="Q19" s="86"/>
      <c r="R19" s="86"/>
      <c r="S19" s="86"/>
      <c r="T19" s="86"/>
      <c r="U19" s="86"/>
      <c r="V19" s="86"/>
      <c r="W19" s="86"/>
      <c r="X19" s="86"/>
      <c r="Y19" s="86"/>
      <c r="Z19" s="86"/>
      <c r="AA19" s="86"/>
    </row>
    <row r="20">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c r="AA20" s="86"/>
    </row>
    <row r="21">
      <c r="A21" s="86"/>
      <c r="B21" s="87" t="s">
        <v>514</v>
      </c>
      <c r="D21" s="86"/>
      <c r="E21" s="86"/>
      <c r="F21" s="86"/>
      <c r="G21" s="86"/>
      <c r="H21" s="86"/>
      <c r="I21" s="86"/>
      <c r="J21" s="86"/>
      <c r="K21" s="86"/>
      <c r="L21" s="86"/>
      <c r="M21" s="86"/>
      <c r="N21" s="86"/>
      <c r="O21" s="86"/>
      <c r="P21" s="86"/>
      <c r="Q21" s="86"/>
      <c r="R21" s="86"/>
      <c r="S21" s="86"/>
      <c r="T21" s="86"/>
      <c r="U21" s="86"/>
      <c r="V21" s="86"/>
      <c r="W21" s="86"/>
      <c r="X21" s="86"/>
      <c r="Y21" s="86"/>
      <c r="Z21" s="86"/>
      <c r="AA21" s="86"/>
    </row>
    <row r="22">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A22" s="86"/>
    </row>
    <row r="23">
      <c r="A23" s="86"/>
      <c r="B23" s="86"/>
      <c r="C23" s="95" t="s">
        <v>515</v>
      </c>
      <c r="D23" s="95" t="s">
        <v>516</v>
      </c>
      <c r="E23" s="95" t="s">
        <v>517</v>
      </c>
      <c r="F23" s="86"/>
      <c r="G23" s="86"/>
      <c r="H23" s="86"/>
      <c r="I23" s="86"/>
      <c r="J23" s="86"/>
      <c r="K23" s="86"/>
      <c r="L23" s="86"/>
      <c r="M23" s="86"/>
      <c r="N23" s="86"/>
      <c r="O23" s="86"/>
      <c r="P23" s="86"/>
      <c r="Q23" s="86"/>
      <c r="R23" s="86"/>
      <c r="S23" s="86"/>
      <c r="T23" s="86"/>
      <c r="U23" s="86"/>
      <c r="V23" s="86"/>
      <c r="W23" s="86"/>
      <c r="X23" s="86"/>
      <c r="Y23" s="86"/>
      <c r="Z23" s="86"/>
      <c r="AA23" s="86"/>
    </row>
    <row r="24">
      <c r="A24" s="86"/>
      <c r="B24" s="92" t="s">
        <v>518</v>
      </c>
      <c r="C24" s="94">
        <v>2.464991022E8</v>
      </c>
      <c r="D24" s="94">
        <v>2.485671206E8</v>
      </c>
      <c r="E24" s="94">
        <v>-2068018.4</v>
      </c>
      <c r="F24" s="86"/>
      <c r="G24" s="86"/>
      <c r="H24" s="86"/>
      <c r="I24" s="86"/>
      <c r="J24" s="86"/>
      <c r="K24" s="86"/>
      <c r="L24" s="86"/>
      <c r="M24" s="86"/>
      <c r="N24" s="86"/>
      <c r="O24" s="86"/>
      <c r="P24" s="86"/>
      <c r="Q24" s="86"/>
      <c r="R24" s="86"/>
      <c r="S24" s="86"/>
      <c r="T24" s="86"/>
      <c r="U24" s="86"/>
      <c r="V24" s="86"/>
      <c r="W24" s="86"/>
      <c r="X24" s="86"/>
      <c r="Y24" s="86"/>
      <c r="Z24" s="86"/>
      <c r="AA24" s="86"/>
    </row>
    <row r="25">
      <c r="B25" s="92" t="s">
        <v>519</v>
      </c>
      <c r="C25" s="94">
        <v>2.464991022E8</v>
      </c>
      <c r="D25" s="94">
        <v>2.485671206E8</v>
      </c>
      <c r="E25" s="94">
        <v>-2068018.4</v>
      </c>
      <c r="F25" s="86"/>
      <c r="G25" s="86"/>
      <c r="H25" s="86"/>
      <c r="I25" s="86"/>
      <c r="J25" s="86"/>
      <c r="K25" s="86"/>
      <c r="L25" s="86"/>
      <c r="M25" s="86"/>
      <c r="N25" s="86"/>
      <c r="O25" s="86"/>
      <c r="P25" s="86"/>
      <c r="Q25" s="86"/>
      <c r="R25" s="86"/>
      <c r="S25" s="86"/>
      <c r="T25" s="86"/>
      <c r="U25" s="86"/>
      <c r="V25" s="86"/>
      <c r="W25" s="86"/>
      <c r="X25" s="86"/>
      <c r="Y25" s="86"/>
      <c r="Z25" s="86"/>
      <c r="AA25" s="86"/>
    </row>
    <row r="26">
      <c r="C26" s="94"/>
      <c r="D26" s="94"/>
      <c r="E26" s="94"/>
      <c r="F26" s="86"/>
      <c r="G26" s="86"/>
      <c r="H26" s="86"/>
      <c r="I26" s="86"/>
      <c r="J26" s="86"/>
      <c r="K26" s="86"/>
      <c r="L26" s="86"/>
      <c r="M26" s="86"/>
      <c r="N26" s="86"/>
      <c r="O26" s="86"/>
      <c r="P26" s="86"/>
      <c r="Q26" s="86"/>
      <c r="R26" s="86"/>
      <c r="S26" s="86"/>
      <c r="T26" s="86"/>
      <c r="U26" s="86"/>
      <c r="V26" s="86"/>
      <c r="W26" s="86"/>
      <c r="X26" s="86"/>
      <c r="Y26" s="86"/>
      <c r="Z26" s="86"/>
      <c r="AA26" s="86"/>
    </row>
    <row r="27">
      <c r="B27" s="87" t="s">
        <v>520</v>
      </c>
      <c r="E27" s="86"/>
      <c r="F27" s="86"/>
      <c r="G27" s="86"/>
      <c r="H27" s="86"/>
      <c r="I27" s="86"/>
      <c r="J27" s="86"/>
      <c r="K27" s="86"/>
      <c r="L27" s="86"/>
      <c r="M27" s="86"/>
      <c r="N27" s="86"/>
      <c r="O27" s="86"/>
      <c r="P27" s="86"/>
      <c r="Q27" s="86"/>
      <c r="R27" s="86"/>
      <c r="S27" s="86"/>
      <c r="T27" s="86"/>
      <c r="U27" s="86"/>
      <c r="V27" s="86"/>
      <c r="W27" s="86"/>
      <c r="X27" s="86"/>
      <c r="Y27" s="86"/>
      <c r="Z27" s="86"/>
      <c r="AA27" s="86"/>
    </row>
    <row r="28">
      <c r="E28" s="86"/>
      <c r="F28" s="86"/>
      <c r="G28" s="86"/>
      <c r="H28" s="86"/>
      <c r="I28" s="86"/>
      <c r="J28" s="86"/>
      <c r="K28" s="86"/>
      <c r="L28" s="86"/>
      <c r="M28" s="86"/>
      <c r="N28" s="86"/>
      <c r="O28" s="86"/>
      <c r="P28" s="86"/>
      <c r="Q28" s="86"/>
      <c r="R28" s="86"/>
      <c r="S28" s="86"/>
      <c r="T28" s="86"/>
      <c r="U28" s="86"/>
      <c r="V28" s="86"/>
      <c r="W28" s="86"/>
      <c r="X28" s="86"/>
      <c r="Y28" s="86"/>
      <c r="Z28" s="86"/>
      <c r="AA28" s="86"/>
    </row>
    <row r="29">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row>
    <row r="30">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row>
    <row r="3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row>
    <row r="32">
      <c r="A32" s="86"/>
      <c r="B32" s="86"/>
      <c r="C32" s="96" t="s">
        <v>521</v>
      </c>
      <c r="D32" s="24"/>
      <c r="E32" s="24"/>
      <c r="F32" s="24"/>
      <c r="G32" s="25"/>
      <c r="H32" s="96" t="s">
        <v>522</v>
      </c>
      <c r="I32" s="24"/>
      <c r="J32" s="24"/>
      <c r="K32" s="24"/>
      <c r="L32" s="25"/>
      <c r="M32" s="97" t="s">
        <v>523</v>
      </c>
      <c r="N32" s="96" t="s">
        <v>524</v>
      </c>
      <c r="O32" s="24"/>
      <c r="P32" s="24"/>
      <c r="Q32" s="24"/>
      <c r="R32" s="25"/>
      <c r="S32" s="86"/>
      <c r="T32" s="86"/>
      <c r="U32" s="86"/>
      <c r="V32" s="86"/>
      <c r="W32" s="86"/>
      <c r="X32" s="86"/>
      <c r="Y32" s="86"/>
      <c r="Z32" s="86"/>
      <c r="AA32" s="86"/>
    </row>
    <row r="33">
      <c r="A33" s="86"/>
      <c r="B33" s="98" t="s">
        <v>525</v>
      </c>
      <c r="C33" s="98" t="s">
        <v>526</v>
      </c>
      <c r="D33" s="99" t="s">
        <v>527</v>
      </c>
      <c r="E33" s="99" t="s">
        <v>528</v>
      </c>
      <c r="F33" s="99" t="s">
        <v>529</v>
      </c>
      <c r="G33" s="100" t="s">
        <v>530</v>
      </c>
      <c r="H33" s="98" t="s">
        <v>531</v>
      </c>
      <c r="I33" s="99" t="s">
        <v>532</v>
      </c>
      <c r="J33" s="99" t="s">
        <v>533</v>
      </c>
      <c r="K33" s="99" t="s">
        <v>534</v>
      </c>
      <c r="L33" s="100" t="s">
        <v>535</v>
      </c>
      <c r="M33" s="100" t="s">
        <v>536</v>
      </c>
      <c r="N33" s="98" t="s">
        <v>537</v>
      </c>
      <c r="O33" s="99" t="s">
        <v>538</v>
      </c>
      <c r="P33" s="99" t="s">
        <v>539</v>
      </c>
      <c r="Q33" s="99" t="s">
        <v>540</v>
      </c>
      <c r="R33" s="100" t="s">
        <v>541</v>
      </c>
      <c r="S33" s="100" t="s">
        <v>542</v>
      </c>
      <c r="T33" s="86"/>
      <c r="U33" s="86"/>
      <c r="V33" s="86"/>
      <c r="W33" s="86"/>
      <c r="X33" s="86"/>
      <c r="Y33" s="86"/>
      <c r="Z33" s="86"/>
      <c r="AA33" s="86"/>
    </row>
    <row r="34">
      <c r="A34" s="86"/>
      <c r="B34" s="101">
        <v>45292.0</v>
      </c>
      <c r="C34" s="102">
        <v>208.0</v>
      </c>
      <c r="D34" s="93">
        <v>3.501816444E7</v>
      </c>
      <c r="E34" s="93">
        <v>0.0</v>
      </c>
      <c r="F34" s="93">
        <v>209.0</v>
      </c>
      <c r="G34" s="103">
        <v>3.502306444E7</v>
      </c>
      <c r="H34" s="102">
        <v>121.0</v>
      </c>
      <c r="I34" s="93">
        <v>3.462094118E7</v>
      </c>
      <c r="J34" s="93">
        <v>0.0</v>
      </c>
      <c r="K34" s="93">
        <v>122.0</v>
      </c>
      <c r="L34" s="103">
        <v>3.462584118E7</v>
      </c>
      <c r="M34" s="93">
        <v>0.0</v>
      </c>
      <c r="N34" s="102">
        <v>889625.28</v>
      </c>
      <c r="O34" s="93">
        <v>-47820.37</v>
      </c>
      <c r="P34" s="93">
        <v>1130027.93</v>
      </c>
      <c r="Q34" s="93">
        <v>-37345.24</v>
      </c>
      <c r="R34" s="103">
        <v>-71493.76</v>
      </c>
      <c r="S34" s="93">
        <v>1116804.55</v>
      </c>
      <c r="T34" s="86"/>
      <c r="U34" s="86"/>
      <c r="V34" s="86"/>
      <c r="W34" s="86"/>
      <c r="X34" s="86"/>
      <c r="Y34" s="86"/>
      <c r="Z34" s="86"/>
      <c r="AA34" s="86"/>
    </row>
    <row r="35">
      <c r="A35" s="86"/>
      <c r="B35" s="101">
        <v>45323.0</v>
      </c>
      <c r="C35" s="102">
        <v>154.0</v>
      </c>
      <c r="D35" s="93">
        <v>4.064986782E7</v>
      </c>
      <c r="E35" s="93">
        <v>0.0</v>
      </c>
      <c r="F35" s="93">
        <v>159.0</v>
      </c>
      <c r="G35" s="103">
        <v>4.095400982E7</v>
      </c>
      <c r="H35" s="102">
        <v>156.0</v>
      </c>
      <c r="I35" s="93">
        <v>4.064690292E7</v>
      </c>
      <c r="J35" s="93">
        <v>0.0</v>
      </c>
      <c r="K35" s="93">
        <v>161.0</v>
      </c>
      <c r="L35" s="103">
        <v>4.095104492E7</v>
      </c>
      <c r="M35" s="93">
        <v>0.0</v>
      </c>
      <c r="N35" s="102">
        <v>1146663.89</v>
      </c>
      <c r="O35" s="93">
        <v>-106451.23</v>
      </c>
      <c r="P35" s="93">
        <v>355131.92</v>
      </c>
      <c r="Q35" s="93">
        <v>-257080.37</v>
      </c>
      <c r="R35" s="103">
        <v>-246697.49</v>
      </c>
      <c r="S35" s="93">
        <v>1401617.34</v>
      </c>
      <c r="T35" s="86"/>
      <c r="U35" s="86"/>
      <c r="V35" s="86"/>
      <c r="W35" s="86"/>
      <c r="X35" s="86"/>
      <c r="Y35" s="86"/>
      <c r="Z35" s="86"/>
      <c r="AA35" s="86"/>
    </row>
    <row r="36">
      <c r="A36" s="86"/>
      <c r="B36" s="101">
        <v>45352.0</v>
      </c>
      <c r="C36" s="102">
        <v>182.0</v>
      </c>
      <c r="D36" s="93">
        <v>1.612131841E7</v>
      </c>
      <c r="E36" s="93">
        <v>0.0</v>
      </c>
      <c r="F36" s="93">
        <v>182.0</v>
      </c>
      <c r="G36" s="103">
        <v>1.612131841E7</v>
      </c>
      <c r="H36" s="102">
        <v>74.0</v>
      </c>
      <c r="I36" s="93">
        <v>1.400649128E7</v>
      </c>
      <c r="J36" s="93">
        <v>0.0</v>
      </c>
      <c r="K36" s="93">
        <v>74.0</v>
      </c>
      <c r="L36" s="103">
        <v>1.400649128E7</v>
      </c>
      <c r="M36" s="93">
        <v>0.0</v>
      </c>
      <c r="N36" s="102">
        <v>821835.83</v>
      </c>
      <c r="O36" s="93">
        <v>1754859.65</v>
      </c>
      <c r="P36" s="93">
        <v>-198413.72</v>
      </c>
      <c r="Q36" s="93">
        <v>112474.6</v>
      </c>
      <c r="R36" s="103">
        <v>112042.8</v>
      </c>
      <c r="S36" s="93">
        <v>451822.3</v>
      </c>
      <c r="T36" s="86"/>
      <c r="U36" s="86"/>
      <c r="V36" s="86"/>
      <c r="W36" s="86"/>
      <c r="X36" s="86"/>
      <c r="Y36" s="86"/>
      <c r="Z36" s="86"/>
      <c r="AA36" s="86"/>
    </row>
    <row r="37">
      <c r="A37" s="86"/>
      <c r="B37" s="101">
        <v>45383.0</v>
      </c>
      <c r="C37" s="102">
        <v>129.0</v>
      </c>
      <c r="D37" s="93">
        <v>1.848580226E7</v>
      </c>
      <c r="E37" s="93">
        <v>0.0</v>
      </c>
      <c r="F37" s="93">
        <v>133.0</v>
      </c>
      <c r="G37" s="103">
        <v>1.915552126E7</v>
      </c>
      <c r="H37" s="102">
        <v>110.0</v>
      </c>
      <c r="I37" s="93">
        <v>2.080435046E7</v>
      </c>
      <c r="J37" s="93">
        <v>0.0</v>
      </c>
      <c r="K37" s="93">
        <v>114.0</v>
      </c>
      <c r="L37" s="103">
        <v>2.147406946E7</v>
      </c>
      <c r="M37" s="93">
        <v>0.0</v>
      </c>
      <c r="N37" s="102">
        <v>198755.28</v>
      </c>
      <c r="O37" s="93">
        <v>-207121.67</v>
      </c>
      <c r="P37" s="93">
        <v>95443.31</v>
      </c>
      <c r="Q37" s="93">
        <v>248888.69</v>
      </c>
      <c r="R37" s="103">
        <v>672764.71</v>
      </c>
      <c r="S37" s="93">
        <v>693478.35</v>
      </c>
      <c r="T37" s="86"/>
      <c r="U37" s="86"/>
      <c r="V37" s="86"/>
      <c r="W37" s="86"/>
      <c r="X37" s="86"/>
      <c r="Y37" s="86"/>
      <c r="Z37" s="86"/>
      <c r="AA37" s="86"/>
    </row>
    <row r="38">
      <c r="A38" s="101"/>
      <c r="B38" s="101">
        <v>45413.0</v>
      </c>
      <c r="C38" s="102">
        <v>130.0</v>
      </c>
      <c r="D38" s="93">
        <v>1.954820378E7</v>
      </c>
      <c r="E38" s="93">
        <v>0.0</v>
      </c>
      <c r="F38" s="93">
        <v>139.0</v>
      </c>
      <c r="G38" s="103">
        <v>2.052308678E7</v>
      </c>
      <c r="H38" s="102">
        <v>121.0</v>
      </c>
      <c r="I38" s="93">
        <v>1.979786858E7</v>
      </c>
      <c r="J38" s="93">
        <v>0.0</v>
      </c>
      <c r="K38" s="93">
        <v>128.0</v>
      </c>
      <c r="L38" s="103">
        <v>2.026022658E7</v>
      </c>
      <c r="M38" s="93">
        <v>512525.0</v>
      </c>
      <c r="N38" s="102">
        <v>166949.31</v>
      </c>
      <c r="O38" s="93">
        <v>133994.68</v>
      </c>
      <c r="P38" s="93">
        <v>714048.28</v>
      </c>
      <c r="Q38" s="93">
        <v>1069298.71</v>
      </c>
      <c r="R38" s="103">
        <v>442604.46</v>
      </c>
      <c r="S38" s="93">
        <v>638640.92</v>
      </c>
      <c r="T38" s="86"/>
      <c r="U38" s="86"/>
      <c r="V38" s="86"/>
      <c r="W38" s="86"/>
      <c r="X38" s="86"/>
      <c r="Y38" s="86"/>
      <c r="Z38" s="86"/>
      <c r="AA38" s="86"/>
    </row>
    <row r="39">
      <c r="A39" s="101"/>
      <c r="B39" s="101">
        <v>45444.0</v>
      </c>
      <c r="C39" s="102">
        <v>121.0</v>
      </c>
      <c r="D39" s="93">
        <v>2.75034537E7</v>
      </c>
      <c r="E39" s="93">
        <v>0.0</v>
      </c>
      <c r="F39" s="93">
        <v>126.0</v>
      </c>
      <c r="G39" s="103">
        <v>2.78731117E7</v>
      </c>
      <c r="H39" s="102">
        <v>147.0</v>
      </c>
      <c r="I39" s="93">
        <v>2.769176684E7</v>
      </c>
      <c r="J39" s="93">
        <v>0.0</v>
      </c>
      <c r="K39" s="93">
        <v>152.0</v>
      </c>
      <c r="L39" s="103">
        <v>2.806142484E7</v>
      </c>
      <c r="M39" s="93">
        <v>0.0</v>
      </c>
      <c r="N39" s="102">
        <v>-112290.75</v>
      </c>
      <c r="O39" s="93">
        <v>1040543.58</v>
      </c>
      <c r="P39" s="93">
        <v>-124872.11</v>
      </c>
      <c r="Q39" s="93">
        <v>486972.2</v>
      </c>
      <c r="R39" s="103">
        <v>-58419.55</v>
      </c>
      <c r="S39" s="93">
        <v>923058.89</v>
      </c>
      <c r="T39" s="86"/>
      <c r="U39" s="86"/>
      <c r="V39" s="86"/>
      <c r="W39" s="86"/>
      <c r="X39" s="86"/>
      <c r="Y39" s="86"/>
      <c r="Z39" s="86"/>
      <c r="AA39" s="86"/>
    </row>
    <row r="40">
      <c r="A40" s="101"/>
      <c r="B40" s="101">
        <v>45474.0</v>
      </c>
      <c r="C40" s="102">
        <v>109.0</v>
      </c>
      <c r="D40" s="93">
        <v>1.789138026E7</v>
      </c>
      <c r="E40" s="93">
        <v>0.0</v>
      </c>
      <c r="F40" s="93">
        <v>113.0</v>
      </c>
      <c r="G40" s="103">
        <v>1.798141826E7</v>
      </c>
      <c r="H40" s="102">
        <v>67.0</v>
      </c>
      <c r="I40" s="93">
        <v>1.752519148E7</v>
      </c>
      <c r="J40" s="93">
        <v>0.0</v>
      </c>
      <c r="K40" s="93">
        <v>71.0</v>
      </c>
      <c r="L40" s="103">
        <v>1.761522948E7</v>
      </c>
      <c r="M40" s="93">
        <v>0.0</v>
      </c>
      <c r="N40" s="102">
        <v>183088.26</v>
      </c>
      <c r="O40" s="93">
        <v>264144.19</v>
      </c>
      <c r="P40" s="93">
        <v>206625.26</v>
      </c>
      <c r="Q40" s="93">
        <v>-59587.83</v>
      </c>
      <c r="R40" s="103">
        <v>401162.02</v>
      </c>
      <c r="S40" s="93">
        <v>565328.76</v>
      </c>
      <c r="T40" s="86"/>
      <c r="U40" s="86"/>
      <c r="V40" s="86"/>
      <c r="W40" s="86"/>
      <c r="X40" s="86"/>
      <c r="Y40" s="86"/>
      <c r="Z40" s="86"/>
      <c r="AA40" s="86"/>
    </row>
    <row r="41">
      <c r="A41" s="101"/>
      <c r="B41" s="101">
        <v>45505.0</v>
      </c>
      <c r="C41" s="102">
        <v>102.0</v>
      </c>
      <c r="D41" s="93">
        <v>1.750499184E7</v>
      </c>
      <c r="E41" s="93">
        <v>0.0</v>
      </c>
      <c r="F41" s="93">
        <v>112.0</v>
      </c>
      <c r="G41" s="103">
        <v>2.008626584E7</v>
      </c>
      <c r="H41" s="102">
        <v>106.0</v>
      </c>
      <c r="I41" s="93">
        <v>1.964100231E7</v>
      </c>
      <c r="J41" s="93">
        <v>0.0</v>
      </c>
      <c r="K41" s="93">
        <v>115.0</v>
      </c>
      <c r="L41" s="103">
        <v>2.025223931E7</v>
      </c>
      <c r="M41" s="93">
        <v>1970037.0</v>
      </c>
      <c r="N41" s="102">
        <v>9638.84</v>
      </c>
      <c r="O41" s="93">
        <v>218311.49</v>
      </c>
      <c r="P41" s="93">
        <v>82649.2</v>
      </c>
      <c r="Q41" s="93">
        <v>164079.94</v>
      </c>
      <c r="R41" s="103">
        <v>161404.85</v>
      </c>
      <c r="S41" s="93">
        <v>633580.72</v>
      </c>
      <c r="T41" s="86"/>
      <c r="U41" s="86"/>
      <c r="V41" s="86"/>
      <c r="W41" s="86"/>
      <c r="X41" s="86"/>
      <c r="Y41" s="86"/>
      <c r="Z41" s="86"/>
      <c r="AA41" s="86"/>
    </row>
    <row r="42">
      <c r="A42" s="101"/>
      <c r="B42" s="101">
        <v>45536.0</v>
      </c>
      <c r="C42" s="102">
        <v>63.0</v>
      </c>
      <c r="D42" s="93">
        <v>1.810882266E7</v>
      </c>
      <c r="E42" s="93">
        <v>0.0</v>
      </c>
      <c r="F42" s="93">
        <v>67.0</v>
      </c>
      <c r="G42" s="103">
        <v>1.883951966E7</v>
      </c>
      <c r="H42" s="102">
        <v>71.0</v>
      </c>
      <c r="I42" s="93">
        <v>1.810456652E7</v>
      </c>
      <c r="J42" s="93">
        <v>0.0</v>
      </c>
      <c r="K42" s="93">
        <v>75.0</v>
      </c>
      <c r="L42" s="103">
        <v>1.883526352E7</v>
      </c>
      <c r="M42" s="93">
        <v>0.0</v>
      </c>
      <c r="N42" s="102">
        <v>1918239.19</v>
      </c>
      <c r="O42" s="93">
        <v>1158.19</v>
      </c>
      <c r="P42" s="93">
        <v>706415.19</v>
      </c>
      <c r="Q42" s="93">
        <v>30598.19</v>
      </c>
      <c r="R42" s="103">
        <v>1616027.19</v>
      </c>
      <c r="S42" s="93">
        <v>603485.55</v>
      </c>
      <c r="T42" s="86"/>
      <c r="U42" s="86"/>
      <c r="V42" s="86"/>
      <c r="W42" s="86"/>
      <c r="X42" s="86"/>
      <c r="Y42" s="86"/>
      <c r="Z42" s="86"/>
      <c r="AA42" s="86"/>
    </row>
    <row r="43">
      <c r="A43" s="101"/>
      <c r="B43" s="101">
        <v>45566.0</v>
      </c>
      <c r="C43" s="102">
        <v>81.0</v>
      </c>
      <c r="D43" s="93">
        <v>1.9668848E7</v>
      </c>
      <c r="E43" s="93">
        <v>0.0</v>
      </c>
      <c r="F43" s="93">
        <v>88.0</v>
      </c>
      <c r="G43" s="103">
        <v>2.1004458E7</v>
      </c>
      <c r="H43" s="102">
        <v>77.0</v>
      </c>
      <c r="I43" s="93">
        <v>1.947667E7</v>
      </c>
      <c r="J43" s="93">
        <v>0.0</v>
      </c>
      <c r="K43" s="93">
        <v>86.0</v>
      </c>
      <c r="L43" s="103">
        <v>2.0813106E7</v>
      </c>
      <c r="M43" s="93">
        <v>0.0</v>
      </c>
      <c r="N43" s="102">
        <v>16976.19</v>
      </c>
      <c r="O43" s="93">
        <v>147522.19</v>
      </c>
      <c r="P43" s="93">
        <v>1257.19</v>
      </c>
      <c r="Q43" s="93">
        <v>2116002.19</v>
      </c>
      <c r="R43" s="103">
        <v>239640.19</v>
      </c>
      <c r="S43" s="93">
        <v>628279.68</v>
      </c>
      <c r="T43" s="86"/>
      <c r="U43" s="86"/>
      <c r="V43" s="86"/>
      <c r="W43" s="86"/>
      <c r="X43" s="86"/>
      <c r="Y43" s="86"/>
      <c r="Z43" s="86"/>
      <c r="AA43" s="86"/>
    </row>
    <row r="44">
      <c r="A44" s="101"/>
      <c r="B44" s="101">
        <v>45597.0</v>
      </c>
      <c r="C44" s="102">
        <v>82.0</v>
      </c>
      <c r="D44" s="93">
        <v>9640256.0</v>
      </c>
      <c r="E44" s="93">
        <v>0.0</v>
      </c>
      <c r="F44" s="93">
        <v>86.0</v>
      </c>
      <c r="G44" s="103">
        <v>1.0133011E7</v>
      </c>
      <c r="H44" s="102">
        <v>85.0</v>
      </c>
      <c r="I44" s="93">
        <v>9944117.0</v>
      </c>
      <c r="J44" s="93">
        <v>0.0</v>
      </c>
      <c r="K44" s="93">
        <v>89.0</v>
      </c>
      <c r="L44" s="103">
        <v>1.0436872E7</v>
      </c>
      <c r="M44" s="93">
        <v>0.0</v>
      </c>
      <c r="N44" s="102">
        <v>57313.19</v>
      </c>
      <c r="O44" s="93">
        <v>104530.19</v>
      </c>
      <c r="P44" s="93">
        <v>165198.19</v>
      </c>
      <c r="Q44" s="93">
        <v>315611.19</v>
      </c>
      <c r="R44" s="103">
        <v>5099.19</v>
      </c>
      <c r="S44" s="93">
        <v>331470.57</v>
      </c>
      <c r="T44" s="86"/>
      <c r="U44" s="86"/>
      <c r="V44" s="86"/>
      <c r="W44" s="86"/>
      <c r="X44" s="86"/>
      <c r="Y44" s="86"/>
      <c r="Z44" s="86"/>
      <c r="AA44" s="86"/>
    </row>
    <row r="45">
      <c r="A45" s="101"/>
      <c r="B45" s="101">
        <v>45627.0</v>
      </c>
      <c r="C45" s="102">
        <v>59.0</v>
      </c>
      <c r="D45" s="93">
        <v>6357993.0</v>
      </c>
      <c r="E45" s="93">
        <v>0.0</v>
      </c>
      <c r="F45" s="93">
        <v>62.0</v>
      </c>
      <c r="G45" s="103">
        <v>6382166.0</v>
      </c>
      <c r="H45" s="102">
        <v>66.0</v>
      </c>
      <c r="I45" s="93">
        <v>6307252.0</v>
      </c>
      <c r="J45" s="93">
        <v>0.0</v>
      </c>
      <c r="K45" s="93">
        <v>69.0</v>
      </c>
      <c r="L45" s="103">
        <v>6331425.0</v>
      </c>
      <c r="M45" s="93">
        <v>0.0</v>
      </c>
      <c r="N45" s="102">
        <v>357622.19</v>
      </c>
      <c r="O45" s="93">
        <v>16381.19</v>
      </c>
      <c r="P45" s="93">
        <v>284090.19</v>
      </c>
      <c r="Q45" s="93">
        <v>2677.19</v>
      </c>
      <c r="R45" s="103">
        <v>2820.19</v>
      </c>
      <c r="S45" s="93">
        <v>203459.74</v>
      </c>
      <c r="T45" s="86"/>
      <c r="U45" s="86"/>
      <c r="V45" s="86"/>
      <c r="W45" s="86"/>
      <c r="X45" s="86"/>
      <c r="Y45" s="86"/>
      <c r="Z45" s="86"/>
      <c r="AA45" s="86"/>
    </row>
    <row r="46">
      <c r="A46" s="104"/>
      <c r="B46" s="104" t="s">
        <v>543</v>
      </c>
      <c r="C46" s="105">
        <v>1420.0</v>
      </c>
      <c r="D46" s="106">
        <v>2.4649910217E8</v>
      </c>
      <c r="E46" s="106">
        <v>0.0</v>
      </c>
      <c r="F46" s="106">
        <v>1476.0</v>
      </c>
      <c r="G46" s="107">
        <v>2.5407695117E8</v>
      </c>
      <c r="H46" s="105">
        <v>1201.0</v>
      </c>
      <c r="I46" s="106">
        <v>2.4856712057E8</v>
      </c>
      <c r="J46" s="106">
        <v>0.0</v>
      </c>
      <c r="K46" s="106">
        <v>1256.0</v>
      </c>
      <c r="L46" s="107">
        <v>2.5366323357E8</v>
      </c>
      <c r="M46" s="106">
        <v>2482562.0</v>
      </c>
      <c r="N46" s="105"/>
      <c r="O46" s="106"/>
      <c r="P46" s="106"/>
      <c r="Q46" s="106"/>
      <c r="R46" s="107"/>
      <c r="S46" s="86"/>
      <c r="T46" s="86"/>
      <c r="U46" s="86"/>
      <c r="V46" s="86"/>
      <c r="W46" s="86"/>
      <c r="X46" s="86"/>
      <c r="Y46" s="86"/>
      <c r="Z46" s="86"/>
      <c r="AA46" s="86"/>
    </row>
    <row r="4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row>
    <row r="48">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row>
    <row r="49">
      <c r="A49" s="86"/>
      <c r="B49" s="87" t="s">
        <v>544</v>
      </c>
      <c r="C49" s="108"/>
      <c r="D49" s="108"/>
      <c r="E49" s="108"/>
      <c r="F49" s="108"/>
      <c r="G49" s="108"/>
      <c r="H49" s="86"/>
      <c r="I49" s="86"/>
      <c r="J49" s="86"/>
      <c r="K49" s="86"/>
      <c r="L49" s="86"/>
      <c r="M49" s="86"/>
      <c r="N49" s="86"/>
      <c r="O49" s="86"/>
      <c r="P49" s="86"/>
      <c r="Q49" s="86"/>
      <c r="R49" s="86"/>
      <c r="S49" s="86"/>
      <c r="T49" s="86"/>
      <c r="U49" s="86"/>
      <c r="V49" s="86"/>
      <c r="W49" s="86"/>
      <c r="X49" s="86"/>
      <c r="Y49" s="86"/>
      <c r="Z49" s="86"/>
      <c r="AA49" s="86"/>
    </row>
    <row r="50" ht="4.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row>
    <row r="51">
      <c r="A51" s="86"/>
      <c r="B51" s="109" t="s">
        <v>525</v>
      </c>
      <c r="C51" s="109" t="s">
        <v>545</v>
      </c>
      <c r="D51" s="109" t="s">
        <v>546</v>
      </c>
      <c r="E51" s="109" t="s">
        <v>547</v>
      </c>
      <c r="F51" s="109" t="s">
        <v>548</v>
      </c>
      <c r="G51" s="109" t="s">
        <v>549</v>
      </c>
      <c r="H51" s="86"/>
      <c r="I51" s="86"/>
      <c r="J51" s="86"/>
      <c r="K51" s="86"/>
      <c r="L51" s="86"/>
      <c r="M51" s="86"/>
      <c r="N51" s="86"/>
      <c r="O51" s="86"/>
      <c r="P51" s="86"/>
      <c r="Q51" s="86"/>
      <c r="R51" s="86"/>
      <c r="S51" s="86"/>
      <c r="T51" s="86"/>
      <c r="U51" s="86"/>
      <c r="V51" s="86"/>
      <c r="W51" s="86"/>
      <c r="X51" s="86"/>
      <c r="Y51" s="86"/>
      <c r="Z51" s="86"/>
      <c r="AA51" s="86"/>
    </row>
    <row r="52">
      <c r="A52" s="110"/>
      <c r="B52" s="91">
        <v>1.0</v>
      </c>
      <c r="C52" s="90">
        <v>1.462494403E7</v>
      </c>
      <c r="D52" s="90">
        <v>8335030.0</v>
      </c>
      <c r="E52" s="90">
        <v>215600.0</v>
      </c>
      <c r="F52" s="111">
        <v>6289914.0</v>
      </c>
      <c r="G52" s="111">
        <v>6289914.0</v>
      </c>
      <c r="H52" s="86"/>
      <c r="I52" s="86"/>
      <c r="J52" s="86"/>
      <c r="K52" s="86"/>
      <c r="L52" s="86"/>
      <c r="M52" s="86"/>
      <c r="N52" s="86"/>
      <c r="O52" s="86"/>
      <c r="P52" s="86"/>
      <c r="Q52" s="86"/>
      <c r="R52" s="86"/>
      <c r="S52" s="86"/>
      <c r="T52" s="86"/>
      <c r="U52" s="86"/>
      <c r="V52" s="86"/>
      <c r="W52" s="86"/>
      <c r="X52" s="86"/>
      <c r="Y52" s="86"/>
      <c r="Z52" s="86"/>
      <c r="AA52" s="86"/>
    </row>
    <row r="53">
      <c r="A53" s="110"/>
      <c r="B53" s="91">
        <v>2.0</v>
      </c>
      <c r="C53" s="90">
        <v>1.034558212E7</v>
      </c>
      <c r="D53" s="90">
        <v>9525926.0</v>
      </c>
      <c r="E53" s="90">
        <v>251200.0</v>
      </c>
      <c r="F53" s="111">
        <v>819656.0</v>
      </c>
      <c r="G53" s="111">
        <v>7109570.0</v>
      </c>
      <c r="H53" s="86"/>
      <c r="I53" s="86"/>
      <c r="J53" s="86"/>
      <c r="K53" s="86"/>
      <c r="L53" s="86"/>
      <c r="M53" s="86"/>
      <c r="N53" s="86"/>
      <c r="O53" s="86"/>
      <c r="P53" s="86"/>
      <c r="Q53" s="86"/>
      <c r="R53" s="86"/>
      <c r="S53" s="86"/>
      <c r="T53" s="86"/>
      <c r="U53" s="86"/>
      <c r="V53" s="86"/>
      <c r="W53" s="86"/>
      <c r="X53" s="86"/>
      <c r="Y53" s="86"/>
      <c r="Z53" s="86"/>
      <c r="AA53" s="86"/>
    </row>
    <row r="54">
      <c r="A54" s="110"/>
      <c r="B54" s="91">
        <v>3.0</v>
      </c>
      <c r="C54" s="90">
        <v>9986630.93</v>
      </c>
      <c r="D54" s="90">
        <v>1.1789488E7</v>
      </c>
      <c r="E54" s="90">
        <v>924286.0</v>
      </c>
      <c r="F54" s="112">
        <v>-1802857.0</v>
      </c>
      <c r="G54" s="111">
        <v>5306713.0</v>
      </c>
      <c r="H54" s="86"/>
      <c r="I54" s="86"/>
      <c r="J54" s="86"/>
      <c r="K54" s="86"/>
      <c r="L54" s="86"/>
      <c r="M54" s="86"/>
      <c r="N54" s="86"/>
      <c r="O54" s="86"/>
      <c r="P54" s="86"/>
      <c r="Q54" s="86"/>
      <c r="R54" s="86"/>
      <c r="S54" s="86"/>
      <c r="T54" s="86"/>
      <c r="U54" s="86"/>
      <c r="V54" s="86"/>
      <c r="W54" s="86"/>
      <c r="X54" s="86"/>
      <c r="Y54" s="86"/>
      <c r="Z54" s="86"/>
      <c r="AA54" s="86"/>
    </row>
    <row r="55">
      <c r="A55" s="110"/>
      <c r="B55" s="91">
        <v>4.0</v>
      </c>
      <c r="C55" s="90">
        <v>8138164.38</v>
      </c>
      <c r="D55" s="90">
        <v>7848898.0</v>
      </c>
      <c r="E55" s="90">
        <v>30000.0</v>
      </c>
      <c r="F55" s="112">
        <v>289266.0</v>
      </c>
      <c r="G55" s="111">
        <v>5595979.0</v>
      </c>
      <c r="H55" s="86"/>
      <c r="I55" s="86"/>
      <c r="J55" s="86"/>
      <c r="K55" s="86"/>
      <c r="L55" s="86"/>
      <c r="M55" s="86"/>
      <c r="N55" s="86"/>
      <c r="O55" s="86"/>
      <c r="P55" s="86"/>
      <c r="Q55" s="86"/>
      <c r="R55" s="86"/>
      <c r="S55" s="86"/>
      <c r="T55" s="86"/>
      <c r="U55" s="86"/>
      <c r="V55" s="86"/>
      <c r="W55" s="86"/>
      <c r="X55" s="86"/>
      <c r="Y55" s="86"/>
      <c r="Z55" s="86"/>
      <c r="AA55" s="86"/>
    </row>
    <row r="56">
      <c r="A56" s="110"/>
      <c r="B56" s="91">
        <v>5.0</v>
      </c>
      <c r="C56" s="90">
        <v>6692740.39</v>
      </c>
      <c r="D56" s="90">
        <v>9539378.66</v>
      </c>
      <c r="E56" s="90">
        <v>41078.0</v>
      </c>
      <c r="F56" s="112">
        <v>-2846638.0</v>
      </c>
      <c r="G56" s="111">
        <v>2749341.0</v>
      </c>
      <c r="H56" s="86"/>
      <c r="I56" s="86"/>
      <c r="J56" s="86"/>
      <c r="K56" s="86"/>
      <c r="L56" s="86"/>
      <c r="M56" s="86"/>
      <c r="N56" s="86"/>
      <c r="O56" s="86"/>
      <c r="P56" s="86"/>
      <c r="Q56" s="86"/>
      <c r="R56" s="86"/>
      <c r="S56" s="86"/>
      <c r="T56" s="86"/>
      <c r="U56" s="86"/>
      <c r="V56" s="86"/>
      <c r="W56" s="86"/>
      <c r="X56" s="86"/>
      <c r="Y56" s="86"/>
      <c r="Z56" s="86"/>
      <c r="AA56" s="86"/>
    </row>
    <row r="57">
      <c r="A57" s="110"/>
      <c r="B57" s="91">
        <v>6.0</v>
      </c>
      <c r="C57" s="90">
        <v>7732357.81</v>
      </c>
      <c r="D57" s="90">
        <v>8289720.0</v>
      </c>
      <c r="E57" s="90">
        <v>1263667.0</v>
      </c>
      <c r="F57" s="112">
        <v>-557362.0</v>
      </c>
      <c r="G57" s="111">
        <v>2191979.0</v>
      </c>
      <c r="H57" s="86"/>
      <c r="I57" s="86"/>
      <c r="J57" s="86"/>
      <c r="K57" s="86"/>
      <c r="L57" s="86"/>
      <c r="M57" s="86"/>
      <c r="N57" s="86"/>
      <c r="O57" s="86"/>
      <c r="P57" s="86"/>
      <c r="Q57" s="86"/>
      <c r="R57" s="86"/>
      <c r="S57" s="86"/>
      <c r="T57" s="86"/>
      <c r="U57" s="86"/>
      <c r="V57" s="86"/>
      <c r="W57" s="86"/>
      <c r="X57" s="86"/>
      <c r="Y57" s="86"/>
      <c r="Z57" s="86"/>
      <c r="AA57" s="86"/>
    </row>
    <row r="58">
      <c r="A58" s="110"/>
      <c r="B58" s="91">
        <v>7.0</v>
      </c>
      <c r="C58" s="90">
        <v>6861507.36</v>
      </c>
      <c r="D58" s="90">
        <v>6423557.0</v>
      </c>
      <c r="E58" s="90">
        <v>526000.0</v>
      </c>
      <c r="F58" s="112">
        <v>437950.0</v>
      </c>
      <c r="G58" s="111">
        <v>2629929.0</v>
      </c>
      <c r="H58" s="86"/>
      <c r="I58" s="86"/>
      <c r="J58" s="86"/>
      <c r="K58" s="86"/>
      <c r="L58" s="86"/>
      <c r="M58" s="86"/>
      <c r="N58" s="86"/>
      <c r="O58" s="86"/>
      <c r="P58" s="86"/>
      <c r="Q58" s="86"/>
      <c r="R58" s="86"/>
      <c r="S58" s="86"/>
      <c r="T58" s="86"/>
      <c r="U58" s="86"/>
      <c r="V58" s="86"/>
      <c r="W58" s="86"/>
      <c r="X58" s="86"/>
      <c r="Y58" s="86"/>
      <c r="Z58" s="86"/>
      <c r="AA58" s="86"/>
    </row>
    <row r="59">
      <c r="A59" s="110"/>
      <c r="B59" s="91">
        <v>8.0</v>
      </c>
      <c r="C59" s="90">
        <v>5736784.54</v>
      </c>
      <c r="D59" s="90">
        <v>8352788.0</v>
      </c>
      <c r="E59" s="90">
        <v>0.0</v>
      </c>
      <c r="F59" s="112">
        <v>-2616003.0</v>
      </c>
      <c r="G59" s="111">
        <v>13926.0</v>
      </c>
      <c r="H59" s="86"/>
      <c r="I59" s="86"/>
      <c r="J59" s="86"/>
      <c r="K59" s="86"/>
      <c r="L59" s="86"/>
      <c r="M59" s="86"/>
      <c r="N59" s="86"/>
      <c r="O59" s="86"/>
      <c r="P59" s="86"/>
      <c r="Q59" s="86"/>
      <c r="R59" s="86"/>
      <c r="S59" s="86"/>
      <c r="T59" s="86"/>
      <c r="U59" s="86"/>
      <c r="V59" s="86"/>
      <c r="W59" s="86"/>
      <c r="X59" s="86"/>
      <c r="Y59" s="86"/>
      <c r="Z59" s="86"/>
      <c r="AA59" s="86"/>
    </row>
    <row r="60">
      <c r="A60" s="110"/>
      <c r="B60" s="91">
        <v>9.0</v>
      </c>
      <c r="C60" s="90">
        <v>1.220833667E7</v>
      </c>
      <c r="D60" s="90">
        <v>1.0836689E7</v>
      </c>
      <c r="E60" s="90">
        <v>938000.0</v>
      </c>
      <c r="F60" s="112">
        <v>1371648.0</v>
      </c>
      <c r="G60" s="111">
        <v>1385574.0</v>
      </c>
      <c r="H60" s="86"/>
      <c r="I60" s="86"/>
      <c r="J60" s="86"/>
      <c r="K60" s="86"/>
      <c r="L60" s="86"/>
      <c r="M60" s="86"/>
      <c r="N60" s="86"/>
      <c r="O60" s="86"/>
      <c r="P60" s="86"/>
      <c r="Q60" s="86"/>
      <c r="R60" s="86"/>
      <c r="S60" s="86"/>
      <c r="T60" s="86"/>
      <c r="U60" s="86"/>
      <c r="V60" s="86"/>
      <c r="W60" s="86"/>
      <c r="X60" s="86"/>
      <c r="Y60" s="86"/>
      <c r="Z60" s="86"/>
      <c r="AA60" s="86"/>
    </row>
    <row r="61">
      <c r="A61" s="110"/>
      <c r="B61" s="91">
        <v>10.0</v>
      </c>
      <c r="C61" s="90">
        <v>5872303.0</v>
      </c>
      <c r="D61" s="90">
        <v>7387564.0</v>
      </c>
      <c r="E61" s="90">
        <v>1175000.0</v>
      </c>
      <c r="F61" s="112">
        <v>-1515261.0</v>
      </c>
      <c r="G61" s="111">
        <v>-129687.0</v>
      </c>
      <c r="H61" s="86"/>
      <c r="I61" s="86"/>
      <c r="J61" s="86"/>
      <c r="K61" s="86"/>
      <c r="L61" s="86"/>
      <c r="M61" s="86"/>
      <c r="N61" s="86"/>
      <c r="O61" s="86"/>
      <c r="P61" s="86"/>
      <c r="Q61" s="86"/>
      <c r="R61" s="86"/>
      <c r="S61" s="86"/>
      <c r="T61" s="86"/>
      <c r="U61" s="86"/>
      <c r="V61" s="86"/>
      <c r="W61" s="86"/>
      <c r="X61" s="86"/>
      <c r="Y61" s="86"/>
      <c r="Z61" s="86"/>
      <c r="AA61" s="86"/>
    </row>
    <row r="62">
      <c r="A62" s="110"/>
      <c r="B62" s="91">
        <v>11.0</v>
      </c>
      <c r="C62" s="90">
        <v>4472405.89</v>
      </c>
      <c r="D62" s="90">
        <v>3827590.82</v>
      </c>
      <c r="E62" s="90">
        <v>0.0</v>
      </c>
      <c r="F62" s="112">
        <v>644815.0</v>
      </c>
      <c r="G62" s="111">
        <v>515128.0</v>
      </c>
      <c r="H62" s="86"/>
      <c r="I62" s="86"/>
      <c r="J62" s="86"/>
      <c r="K62" s="86"/>
      <c r="L62" s="86"/>
      <c r="M62" s="86"/>
      <c r="N62" s="86"/>
      <c r="O62" s="86"/>
      <c r="P62" s="86"/>
      <c r="Q62" s="86"/>
      <c r="R62" s="86"/>
      <c r="S62" s="86"/>
      <c r="T62" s="86"/>
      <c r="U62" s="86"/>
      <c r="V62" s="86"/>
      <c r="W62" s="86"/>
      <c r="X62" s="86"/>
      <c r="Y62" s="86"/>
      <c r="Z62" s="86"/>
      <c r="AA62" s="86"/>
    </row>
    <row r="63">
      <c r="A63" s="110"/>
      <c r="B63" s="91">
        <v>12.0</v>
      </c>
      <c r="C63" s="90">
        <v>6088769.4</v>
      </c>
      <c r="D63" s="90">
        <v>7082445.0</v>
      </c>
      <c r="E63" s="90">
        <v>2418.0</v>
      </c>
      <c r="F63" s="112">
        <v>-993676.0</v>
      </c>
      <c r="G63" s="111">
        <v>-478548.0</v>
      </c>
      <c r="H63" s="86"/>
      <c r="I63" s="86"/>
      <c r="J63" s="86"/>
      <c r="K63" s="86"/>
      <c r="L63" s="86"/>
      <c r="M63" s="86"/>
      <c r="N63" s="86"/>
      <c r="O63" s="86"/>
      <c r="P63" s="86"/>
      <c r="Q63" s="86"/>
      <c r="R63" s="86"/>
      <c r="S63" s="86"/>
      <c r="T63" s="86"/>
      <c r="U63" s="86"/>
      <c r="V63" s="86"/>
      <c r="W63" s="86"/>
      <c r="X63" s="86"/>
      <c r="Y63" s="86"/>
      <c r="Z63" s="86"/>
      <c r="AA63" s="86"/>
    </row>
    <row r="64">
      <c r="A64" s="86"/>
      <c r="B64" s="86"/>
      <c r="C64" s="86"/>
      <c r="D64" s="86"/>
      <c r="E64" s="113"/>
      <c r="F64" s="86"/>
      <c r="G64" s="86"/>
      <c r="H64" s="86"/>
      <c r="I64" s="86"/>
      <c r="J64" s="86"/>
      <c r="K64" s="86"/>
      <c r="L64" s="86"/>
      <c r="M64" s="86"/>
      <c r="N64" s="86"/>
      <c r="O64" s="86"/>
      <c r="P64" s="86"/>
      <c r="Q64" s="86"/>
      <c r="R64" s="86"/>
      <c r="S64" s="86"/>
      <c r="T64" s="86"/>
      <c r="U64" s="86"/>
      <c r="V64" s="86"/>
      <c r="W64" s="86"/>
      <c r="X64" s="86"/>
      <c r="Y64" s="86"/>
      <c r="Z64" s="86"/>
      <c r="AA64" s="86"/>
    </row>
    <row r="65">
      <c r="D65" s="86"/>
      <c r="E65" s="86"/>
      <c r="F65" s="86"/>
      <c r="G65" s="86"/>
      <c r="H65" s="86"/>
      <c r="I65" s="86"/>
      <c r="J65" s="86"/>
      <c r="K65" s="86"/>
      <c r="L65" s="86"/>
      <c r="M65" s="86"/>
      <c r="N65" s="86"/>
      <c r="O65" s="86"/>
      <c r="P65" s="86"/>
      <c r="Q65" s="86"/>
      <c r="R65" s="86"/>
      <c r="S65" s="86"/>
      <c r="T65" s="86"/>
      <c r="U65" s="86"/>
      <c r="V65" s="86"/>
      <c r="W65" s="86"/>
      <c r="X65" s="86"/>
      <c r="Y65" s="86"/>
      <c r="Z65" s="86"/>
      <c r="AA65" s="86"/>
    </row>
    <row r="66">
      <c r="D66" s="86"/>
      <c r="E66" s="86"/>
      <c r="F66" s="86"/>
      <c r="G66" s="86"/>
      <c r="H66" s="86"/>
      <c r="I66" s="86"/>
      <c r="J66" s="86"/>
      <c r="K66" s="86"/>
      <c r="L66" s="86"/>
      <c r="M66" s="86"/>
      <c r="N66" s="86"/>
      <c r="O66" s="86"/>
      <c r="P66" s="86"/>
      <c r="Q66" s="86"/>
      <c r="R66" s="86"/>
      <c r="S66" s="86"/>
      <c r="T66" s="86"/>
      <c r="U66" s="86"/>
      <c r="V66" s="86"/>
      <c r="W66" s="86"/>
      <c r="X66" s="86"/>
      <c r="Y66" s="86"/>
      <c r="Z66" s="86"/>
      <c r="AA66" s="86"/>
    </row>
    <row r="6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row>
    <row r="68">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row>
    <row r="69">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row>
    <row r="70">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row>
    <row r="7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row>
    <row r="7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row>
    <row r="7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row>
    <row r="7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row>
    <row r="78">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row>
    <row r="79">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row>
    <row r="80">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c r="AA80" s="86"/>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c r="AA81" s="86"/>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c r="AA82" s="86"/>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c r="AA83" s="86"/>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c r="AA84" s="86"/>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c r="AA85" s="86"/>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c r="AA86" s="86"/>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c r="AA87" s="86"/>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c r="AA90" s="86"/>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c r="AA91" s="86"/>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c r="AA92" s="86"/>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c r="AA93" s="86"/>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c r="AA94" s="86"/>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c r="AA95" s="86"/>
    </row>
    <row r="96">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row>
    <row r="97">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row>
    <row r="98">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row>
    <row r="99">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row>
    <row r="100">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row>
    <row r="10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row>
    <row r="1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row>
    <row r="104">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row>
    <row r="105">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row>
    <row r="106">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row>
    <row r="107">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row>
    <row r="108">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row>
    <row r="109">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row>
    <row r="110">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row>
    <row r="11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row>
    <row r="11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row>
    <row r="113">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row>
    <row r="114">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row>
    <row r="115">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row>
    <row r="116">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row>
    <row r="118">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row>
    <row r="119">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row>
    <row r="120">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row>
    <row r="12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row>
    <row r="12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row>
    <row r="123">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row>
    <row r="124">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row>
    <row r="126">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row>
    <row r="127">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row>
    <row r="128">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row>
    <row r="129">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row>
    <row r="130">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row>
    <row r="13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row>
    <row r="133">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row>
    <row r="134">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row>
    <row r="135">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row>
    <row r="136">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row>
    <row r="137">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row>
    <row r="138">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row>
    <row r="139">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row>
    <row r="140">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row>
    <row r="14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row>
    <row r="14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row>
    <row r="143">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row>
    <row r="144">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row>
    <row r="146">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row>
    <row r="147">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row>
    <row r="148">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row>
    <row r="149">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row>
    <row r="150">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row>
    <row r="15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row>
    <row r="15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row>
    <row r="153">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row>
    <row r="154">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row>
    <row r="155">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row>
    <row r="156">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row>
    <row r="157">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row>
    <row r="158">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row>
    <row r="159">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row>
    <row r="160">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row>
    <row r="16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row>
    <row r="16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row>
    <row r="163">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row>
    <row r="164">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row>
    <row r="165">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row>
    <row r="166">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row>
    <row r="167">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row>
    <row r="168">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row>
    <row r="169">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row>
    <row r="170">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row>
    <row r="17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row>
    <row r="17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row>
    <row r="173">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row>
    <row r="174">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row>
    <row r="175">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row>
    <row r="176">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row>
    <row r="177">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row>
    <row r="178">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row>
    <row r="179">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row>
    <row r="180">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row>
    <row r="18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row>
    <row r="18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row>
    <row r="183">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row>
    <row r="184">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row>
    <row r="185">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row>
    <row r="186">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row>
    <row r="187">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row>
    <row r="188">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row>
    <row r="189">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row>
    <row r="190">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row>
    <row r="19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row>
    <row r="19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row>
    <row r="193">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row>
    <row r="194">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row>
    <row r="195">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row>
    <row r="196">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row>
    <row r="197">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row>
    <row r="198">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row>
    <row r="199">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row>
    <row r="200">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c r="AA200" s="86"/>
    </row>
    <row r="20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c r="AA201" s="86"/>
    </row>
    <row r="2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row>
    <row r="203">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c r="AA203" s="86"/>
    </row>
    <row r="204">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c r="AA204" s="86"/>
    </row>
    <row r="205">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c r="AA205" s="86"/>
    </row>
    <row r="206">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row>
    <row r="207">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c r="AA207" s="86"/>
    </row>
    <row r="208">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c r="AA208" s="86"/>
    </row>
    <row r="209">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c r="AA209" s="86"/>
    </row>
    <row r="210">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c r="AA210" s="86"/>
    </row>
    <row r="21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c r="AA211" s="86"/>
    </row>
    <row r="21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c r="AA212" s="86"/>
    </row>
    <row r="213">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c r="AA213" s="86"/>
    </row>
    <row r="214">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row>
    <row r="215">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c r="AA215" s="86"/>
    </row>
    <row r="216">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c r="AA216" s="86"/>
    </row>
    <row r="217">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c r="AA217" s="86"/>
    </row>
    <row r="218">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c r="AA218" s="86"/>
    </row>
    <row r="219">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c r="AA219" s="86"/>
    </row>
    <row r="220">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row>
    <row r="22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c r="AA221" s="86"/>
    </row>
    <row r="22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c r="AA222" s="86"/>
    </row>
    <row r="223">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row>
    <row r="224">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c r="AA224" s="86"/>
    </row>
    <row r="225">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c r="AA225" s="86"/>
    </row>
    <row r="226">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c r="AA226" s="86"/>
    </row>
    <row r="227">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c r="AA227" s="86"/>
    </row>
    <row r="228">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c r="AA228" s="86"/>
    </row>
    <row r="229">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c r="AA229" s="86"/>
    </row>
    <row r="230">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c r="AA230" s="86"/>
    </row>
    <row r="23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c r="AA231" s="86"/>
    </row>
    <row r="23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c r="AA232" s="86"/>
    </row>
    <row r="233">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c r="AA233" s="86"/>
    </row>
    <row r="234">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c r="AA234" s="86"/>
    </row>
    <row r="235">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c r="AA235" s="86"/>
    </row>
    <row r="236">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c r="AA236" s="86"/>
    </row>
    <row r="237">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c r="AA237" s="86"/>
    </row>
    <row r="238">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c r="AA238" s="86"/>
    </row>
    <row r="239">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c r="AA239" s="86"/>
    </row>
    <row r="240">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c r="AA240" s="86"/>
    </row>
    <row r="24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c r="AA241" s="86"/>
    </row>
    <row r="24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c r="AA242" s="86"/>
    </row>
    <row r="243">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c r="AA243" s="86"/>
    </row>
    <row r="244">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c r="AA244" s="86"/>
    </row>
    <row r="245">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c r="AA245" s="86"/>
    </row>
    <row r="246">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c r="AA246" s="86"/>
    </row>
    <row r="247">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c r="AA247" s="86"/>
    </row>
    <row r="248">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c r="AA248" s="86"/>
    </row>
    <row r="249">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c r="AA249" s="86"/>
    </row>
    <row r="250">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c r="AA250" s="86"/>
    </row>
    <row r="25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c r="AA251" s="86"/>
    </row>
    <row r="25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c r="AA252" s="86"/>
    </row>
    <row r="253">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c r="AA253" s="86"/>
    </row>
    <row r="254">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c r="AA254" s="86"/>
    </row>
    <row r="255">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c r="AA255" s="86"/>
    </row>
    <row r="256">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c r="AA256" s="86"/>
    </row>
    <row r="257">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c r="AA257" s="86"/>
    </row>
    <row r="258">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c r="AA258" s="86"/>
    </row>
    <row r="259">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c r="AA259" s="86"/>
    </row>
    <row r="260">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c r="AA260" s="86"/>
    </row>
    <row r="26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c r="AA261" s="86"/>
    </row>
    <row r="26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c r="AA262" s="86"/>
    </row>
    <row r="263">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c r="AA263" s="86"/>
    </row>
    <row r="264">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c r="AA264" s="86"/>
    </row>
    <row r="265">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c r="AA265" s="86"/>
    </row>
    <row r="266">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c r="AA266" s="86"/>
    </row>
    <row r="267">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c r="AA267" s="86"/>
    </row>
    <row r="268">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c r="AA268" s="86"/>
    </row>
    <row r="269">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c r="AA269" s="86"/>
    </row>
    <row r="270">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c r="AA270" s="86"/>
    </row>
    <row r="27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c r="AA271" s="86"/>
    </row>
    <row r="27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c r="AA272" s="86"/>
    </row>
    <row r="273">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c r="AA273" s="86"/>
    </row>
    <row r="274">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c r="AA274" s="86"/>
    </row>
    <row r="275">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c r="AA275" s="86"/>
    </row>
    <row r="276">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c r="AA276" s="86"/>
    </row>
    <row r="277">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row>
    <row r="278">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c r="AA278" s="86"/>
    </row>
    <row r="279">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c r="AA279" s="86"/>
    </row>
    <row r="280">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c r="AA280" s="86"/>
    </row>
    <row r="28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c r="AA281" s="86"/>
    </row>
    <row r="28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c r="AA282" s="86"/>
    </row>
    <row r="283">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c r="AA283" s="86"/>
    </row>
    <row r="284">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c r="AA284" s="86"/>
    </row>
    <row r="285">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c r="AA285" s="86"/>
    </row>
    <row r="286">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c r="AA286" s="86"/>
    </row>
    <row r="287">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row>
    <row r="288">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c r="AA288" s="86"/>
    </row>
    <row r="289">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c r="AA289" s="86"/>
    </row>
    <row r="290">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c r="AA290" s="86"/>
    </row>
    <row r="29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c r="AA291" s="86"/>
    </row>
    <row r="29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c r="AA292" s="86"/>
    </row>
    <row r="293">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c r="AA293" s="86"/>
    </row>
    <row r="294">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row>
    <row r="295">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c r="AA295" s="86"/>
    </row>
    <row r="296">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c r="AA296" s="86"/>
    </row>
    <row r="297">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c r="AA297" s="86"/>
    </row>
    <row r="298">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c r="AA298" s="86"/>
    </row>
    <row r="299">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c r="AA299" s="86"/>
    </row>
    <row r="300">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c r="AA300" s="86"/>
    </row>
    <row r="30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c r="AA301" s="86"/>
    </row>
    <row r="3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row>
    <row r="303">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c r="AA303" s="86"/>
    </row>
    <row r="304">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c r="AA304" s="86"/>
    </row>
    <row r="305">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c r="AA305" s="86"/>
    </row>
    <row r="306">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c r="AA306" s="86"/>
    </row>
    <row r="307">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c r="AA307" s="86"/>
    </row>
    <row r="308">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c r="AA308" s="86"/>
    </row>
    <row r="309">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c r="AA309" s="86"/>
    </row>
    <row r="310">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row>
    <row r="31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c r="AA311" s="86"/>
    </row>
    <row r="31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c r="AA312" s="86"/>
    </row>
    <row r="313">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c r="AA313" s="86"/>
    </row>
    <row r="314">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row>
    <row r="315">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c r="AA315" s="86"/>
    </row>
    <row r="316">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c r="AA316" s="86"/>
    </row>
    <row r="317">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c r="AA317" s="86"/>
    </row>
    <row r="318">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c r="AA318" s="86"/>
    </row>
    <row r="319">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c r="AA319" s="86"/>
    </row>
    <row r="320">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c r="AA320" s="86"/>
    </row>
    <row r="32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c r="AA321" s="86"/>
    </row>
    <row r="32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c r="AA322" s="86"/>
    </row>
    <row r="323">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c r="AA323" s="86"/>
    </row>
    <row r="324">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c r="AA324" s="86"/>
    </row>
    <row r="325">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c r="AA325" s="86"/>
    </row>
    <row r="326">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c r="AA326" s="86"/>
    </row>
    <row r="327">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c r="AA327" s="86"/>
    </row>
    <row r="328">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c r="AA328" s="86"/>
    </row>
    <row r="329">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c r="AA329" s="86"/>
    </row>
    <row r="330">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c r="AA330" s="86"/>
    </row>
    <row r="33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c r="AA331" s="86"/>
    </row>
    <row r="33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c r="AA332" s="86"/>
    </row>
    <row r="333">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c r="AA333" s="86"/>
    </row>
    <row r="334">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c r="AA334" s="86"/>
    </row>
    <row r="335">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c r="AA335" s="86"/>
    </row>
    <row r="336">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c r="AA336" s="86"/>
    </row>
    <row r="337">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c r="AA337" s="86"/>
    </row>
    <row r="338">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c r="AA338" s="86"/>
    </row>
    <row r="339">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c r="AA339" s="86"/>
    </row>
    <row r="340">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c r="AA340" s="86"/>
    </row>
    <row r="34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row>
    <row r="34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row>
    <row r="343">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row>
    <row r="344">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c r="AA344" s="86"/>
    </row>
    <row r="345">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row>
    <row r="346">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c r="AA346" s="86"/>
    </row>
    <row r="347">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c r="AA347" s="86"/>
    </row>
    <row r="348">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c r="AA348" s="86"/>
    </row>
    <row r="349">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c r="AA349" s="86"/>
    </row>
    <row r="350">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c r="AA350" s="86"/>
    </row>
    <row r="35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c r="AA351" s="86"/>
    </row>
    <row r="35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c r="AA352" s="86"/>
    </row>
    <row r="353">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c r="AA353" s="86"/>
    </row>
    <row r="354">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c r="AA354" s="86"/>
    </row>
    <row r="355">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c r="AA355" s="86"/>
    </row>
    <row r="356">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c r="AA356" s="86"/>
    </row>
    <row r="357">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c r="AA357" s="86"/>
    </row>
    <row r="358">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c r="AA358" s="86"/>
    </row>
    <row r="359">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c r="AA359" s="86"/>
    </row>
    <row r="360">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c r="AA360" s="86"/>
    </row>
    <row r="36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row>
    <row r="36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row>
    <row r="363">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c r="AA363" s="86"/>
    </row>
    <row r="364">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c r="AA364" s="86"/>
    </row>
    <row r="365">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c r="AA365" s="86"/>
    </row>
    <row r="366">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c r="AA366" s="86"/>
    </row>
    <row r="367">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c r="AA367" s="86"/>
    </row>
    <row r="368">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c r="AA368" s="86"/>
    </row>
    <row r="369">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c r="AA369" s="86"/>
    </row>
    <row r="370">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row>
    <row r="37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c r="AA371" s="86"/>
    </row>
    <row r="37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c r="AA372" s="86"/>
    </row>
    <row r="373">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c r="AA373" s="86"/>
    </row>
    <row r="374">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c r="AA374" s="86"/>
    </row>
    <row r="375">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c r="AA375" s="86"/>
    </row>
    <row r="376">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c r="AA376" s="86"/>
    </row>
    <row r="377">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c r="AA377" s="86"/>
    </row>
    <row r="378">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row>
    <row r="379">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c r="AA379" s="86"/>
    </row>
    <row r="380">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c r="AA380" s="86"/>
    </row>
    <row r="38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c r="AA381" s="86"/>
    </row>
    <row r="38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c r="AA382" s="86"/>
    </row>
    <row r="383">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c r="AA383" s="86"/>
    </row>
    <row r="384">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c r="AA384" s="86"/>
    </row>
    <row r="385">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c r="AA385" s="86"/>
    </row>
    <row r="386">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c r="AA386" s="86"/>
    </row>
    <row r="387">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c r="AA387" s="86"/>
    </row>
    <row r="388">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c r="AA388" s="86"/>
    </row>
    <row r="389">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row>
    <row r="390">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c r="AA390" s="86"/>
    </row>
    <row r="39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c r="AA391" s="86"/>
    </row>
    <row r="39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c r="AA392" s="86"/>
    </row>
    <row r="393">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c r="AA393" s="86"/>
    </row>
    <row r="394">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c r="AA394" s="86"/>
    </row>
    <row r="395">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c r="AA395" s="86"/>
    </row>
    <row r="396">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c r="AA396" s="86"/>
    </row>
    <row r="397">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row>
    <row r="398">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c r="AA398" s="86"/>
    </row>
    <row r="399">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c r="AA399" s="86"/>
    </row>
    <row r="400">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c r="AA400" s="86"/>
    </row>
    <row r="40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row>
    <row r="4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row>
    <row r="403">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c r="AA403" s="86"/>
    </row>
    <row r="404">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c r="AA404" s="86"/>
    </row>
    <row r="405">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row>
    <row r="406">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c r="AA406" s="86"/>
    </row>
    <row r="407">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c r="AA407" s="86"/>
    </row>
    <row r="408">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row>
    <row r="409">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c r="AA409" s="86"/>
    </row>
    <row r="410">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c r="AA410" s="86"/>
    </row>
    <row r="41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c r="AA411" s="86"/>
    </row>
    <row r="41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row>
    <row r="413">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c r="AA413" s="86"/>
    </row>
    <row r="414">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c r="AA414" s="86"/>
    </row>
    <row r="415">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c r="AA415" s="86"/>
    </row>
    <row r="416">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c r="AA416" s="86"/>
    </row>
    <row r="417">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c r="AA417" s="86"/>
    </row>
    <row r="418">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c r="AA418" s="86"/>
    </row>
    <row r="419">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row>
    <row r="420">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c r="AA420" s="86"/>
    </row>
    <row r="42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c r="AA421" s="86"/>
    </row>
    <row r="42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c r="AA422" s="86"/>
    </row>
    <row r="423">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c r="AA423" s="86"/>
    </row>
    <row r="424">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c r="AA424" s="86"/>
    </row>
    <row r="425">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c r="AA425" s="86"/>
    </row>
    <row r="426">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c r="AA426" s="86"/>
    </row>
    <row r="427">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c r="AA427" s="86"/>
    </row>
    <row r="428">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c r="AA428" s="86"/>
    </row>
    <row r="429">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row>
    <row r="430">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c r="AA430" s="86"/>
    </row>
    <row r="43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c r="AA431" s="86"/>
    </row>
    <row r="43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c r="AA432" s="86"/>
    </row>
    <row r="433">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c r="AA433" s="86"/>
    </row>
    <row r="434">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c r="AA434" s="86"/>
    </row>
    <row r="435">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c r="AA435" s="86"/>
    </row>
    <row r="436">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c r="AA436" s="86"/>
    </row>
    <row r="437">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c r="AA437" s="86"/>
    </row>
    <row r="438">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c r="AA438" s="86"/>
    </row>
    <row r="439">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c r="AA439" s="86"/>
    </row>
    <row r="440">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c r="AA440" s="86"/>
    </row>
    <row r="44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row>
    <row r="44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c r="AA442" s="86"/>
    </row>
    <row r="443">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c r="AA443" s="86"/>
    </row>
    <row r="444">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row>
    <row r="445">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c r="AA445" s="86"/>
    </row>
    <row r="446">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c r="AA446" s="86"/>
    </row>
    <row r="447">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c r="AA447" s="86"/>
    </row>
    <row r="448">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c r="AA448" s="86"/>
    </row>
    <row r="449">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c r="AA449" s="86"/>
    </row>
    <row r="450">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c r="AA450" s="86"/>
    </row>
    <row r="45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c r="AA451" s="86"/>
    </row>
    <row r="45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c r="AA452" s="86"/>
    </row>
    <row r="453">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c r="AA453" s="86"/>
    </row>
    <row r="454">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row>
    <row r="455">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c r="AA455" s="86"/>
    </row>
    <row r="456">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c r="AA456" s="86"/>
    </row>
    <row r="457">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c r="AA457" s="86"/>
    </row>
    <row r="458">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c r="AA458" s="86"/>
    </row>
    <row r="459">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c r="AA459" s="86"/>
    </row>
    <row r="460">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c r="AA460" s="86"/>
    </row>
    <row r="46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c r="AA461" s="86"/>
    </row>
    <row r="46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row>
    <row r="463">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c r="AA463" s="86"/>
    </row>
    <row r="464">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c r="AA464" s="86"/>
    </row>
    <row r="465">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c r="AA465" s="86"/>
    </row>
    <row r="466">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c r="AA466" s="86"/>
    </row>
    <row r="467">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c r="AA467" s="86"/>
    </row>
    <row r="468">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c r="AA468" s="86"/>
    </row>
    <row r="469">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c r="AA469" s="86"/>
    </row>
    <row r="470">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c r="AA470" s="86"/>
    </row>
    <row r="47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c r="AA471" s="86"/>
    </row>
    <row r="47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c r="AA472" s="86"/>
    </row>
    <row r="473">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c r="AA473" s="86"/>
    </row>
    <row r="474">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c r="AA474" s="86"/>
    </row>
    <row r="475">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c r="AA475" s="86"/>
    </row>
    <row r="476">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c r="AA476" s="86"/>
    </row>
    <row r="477">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c r="AA477" s="86"/>
    </row>
    <row r="478">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c r="AA478" s="86"/>
    </row>
    <row r="479">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c r="AA479" s="86"/>
    </row>
    <row r="480">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c r="AA480" s="86"/>
    </row>
    <row r="48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c r="AA481" s="86"/>
    </row>
    <row r="48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c r="AA482" s="86"/>
    </row>
    <row r="483">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c r="AA483" s="86"/>
    </row>
    <row r="484">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c r="AA484" s="86"/>
    </row>
    <row r="485">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c r="AA485" s="86"/>
    </row>
    <row r="486">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c r="AA486" s="86"/>
    </row>
    <row r="487">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c r="AA487" s="86"/>
    </row>
    <row r="488">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c r="AA488" s="86"/>
    </row>
    <row r="489">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c r="AA489" s="86"/>
    </row>
    <row r="490">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c r="AA490" s="86"/>
    </row>
    <row r="49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c r="AA491" s="86"/>
    </row>
    <row r="49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c r="AA492" s="86"/>
    </row>
    <row r="493">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c r="AA493" s="86"/>
    </row>
    <row r="494">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c r="AA494" s="86"/>
    </row>
    <row r="495">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c r="AA495" s="86"/>
    </row>
    <row r="496">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row>
    <row r="497">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c r="AA497" s="86"/>
    </row>
    <row r="498">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c r="AA498" s="86"/>
    </row>
    <row r="499">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c r="AA499" s="86"/>
    </row>
    <row r="500">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c r="AA500" s="86"/>
    </row>
    <row r="50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c r="AA501" s="86"/>
    </row>
    <row r="5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c r="AA502" s="86"/>
    </row>
    <row r="503">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c r="AA503" s="86"/>
    </row>
    <row r="504">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c r="AA504" s="86"/>
    </row>
    <row r="505">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c r="AA505" s="86"/>
    </row>
    <row r="506">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c r="AA506" s="86"/>
    </row>
    <row r="507">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c r="AA507" s="86"/>
    </row>
    <row r="508">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c r="AA508" s="86"/>
    </row>
    <row r="509">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c r="AA509" s="86"/>
    </row>
    <row r="510">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c r="AA510" s="86"/>
    </row>
    <row r="51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row>
    <row r="51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c r="AA512" s="86"/>
    </row>
    <row r="513">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c r="AA513" s="86"/>
    </row>
    <row r="514">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c r="AA514" s="86"/>
    </row>
    <row r="515">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c r="AA515" s="86"/>
    </row>
    <row r="516">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c r="AA516" s="86"/>
    </row>
    <row r="517">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c r="AA517" s="86"/>
    </row>
    <row r="518">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c r="AA518" s="86"/>
    </row>
    <row r="519">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c r="AA519" s="86"/>
    </row>
    <row r="520">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c r="AA520" s="86"/>
    </row>
    <row r="52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c r="AA521" s="86"/>
    </row>
    <row r="52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c r="AA522" s="86"/>
    </row>
    <row r="523">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c r="AA523" s="86"/>
    </row>
    <row r="524">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c r="AA524" s="86"/>
    </row>
    <row r="525">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c r="AA525" s="86"/>
    </row>
    <row r="526">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c r="AA526" s="86"/>
    </row>
    <row r="527">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c r="AA527" s="86"/>
    </row>
    <row r="528">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c r="AA528" s="86"/>
    </row>
    <row r="529">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c r="AA529" s="86"/>
    </row>
    <row r="530">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c r="AA530" s="86"/>
    </row>
    <row r="53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c r="AA531" s="86"/>
    </row>
    <row r="53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row>
    <row r="533">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row>
    <row r="534">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row>
    <row r="535">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c r="AA535" s="86"/>
    </row>
    <row r="536">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c r="AA536" s="86"/>
    </row>
    <row r="537">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c r="AA537" s="86"/>
    </row>
    <row r="538">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c r="AA538" s="86"/>
    </row>
    <row r="539">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c r="AA539" s="86"/>
    </row>
    <row r="540">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c r="AA540" s="86"/>
    </row>
    <row r="54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c r="AA541" s="86"/>
    </row>
    <row r="54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c r="AA542" s="86"/>
    </row>
    <row r="543">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c r="AA543" s="86"/>
    </row>
    <row r="544">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c r="AA544" s="86"/>
    </row>
    <row r="545">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c r="AA545" s="86"/>
    </row>
    <row r="546">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c r="AA546" s="86"/>
    </row>
    <row r="547">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c r="AA547" s="86"/>
    </row>
    <row r="548">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c r="AA548" s="86"/>
    </row>
    <row r="549">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c r="AA549" s="86"/>
    </row>
    <row r="550">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c r="AA550" s="86"/>
    </row>
    <row r="55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row>
    <row r="55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c r="AA552" s="86"/>
    </row>
    <row r="553">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c r="AA553" s="86"/>
    </row>
    <row r="554">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c r="AA554" s="86"/>
    </row>
    <row r="555">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c r="AA555" s="86"/>
    </row>
    <row r="556">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c r="AA556" s="86"/>
    </row>
    <row r="557">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c r="AA557" s="86"/>
    </row>
    <row r="558">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row>
    <row r="559">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c r="AA559" s="86"/>
    </row>
    <row r="560">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c r="AA560" s="86"/>
    </row>
    <row r="56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c r="AA561" s="86"/>
    </row>
    <row r="56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c r="AA562" s="86"/>
    </row>
    <row r="563">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c r="AA563" s="86"/>
    </row>
    <row r="564">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c r="AA564" s="86"/>
    </row>
    <row r="565">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c r="AA565" s="86"/>
    </row>
    <row r="566">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c r="AA566" s="86"/>
    </row>
    <row r="567">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c r="AA567" s="86"/>
    </row>
    <row r="568">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c r="AA568" s="86"/>
    </row>
    <row r="569">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c r="AA569" s="86"/>
    </row>
    <row r="570">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c r="AA570" s="86"/>
    </row>
    <row r="57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c r="AA571" s="86"/>
    </row>
    <row r="57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c r="AA572" s="86"/>
    </row>
    <row r="573">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c r="AA573" s="86"/>
    </row>
    <row r="574">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c r="AA574" s="86"/>
    </row>
    <row r="575">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c r="AA575" s="86"/>
    </row>
    <row r="576">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c r="AA576" s="86"/>
    </row>
    <row r="577">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c r="AA577" s="86"/>
    </row>
    <row r="578">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c r="AA578" s="86"/>
    </row>
    <row r="579">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c r="AA579" s="86"/>
    </row>
    <row r="580">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c r="AA580" s="86"/>
    </row>
    <row r="58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c r="AA581" s="86"/>
    </row>
    <row r="58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row>
    <row r="583">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c r="AA583" s="86"/>
    </row>
    <row r="584">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c r="AA584" s="86"/>
    </row>
    <row r="585">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c r="AA585" s="86"/>
    </row>
    <row r="586">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c r="AA586" s="86"/>
    </row>
    <row r="587">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c r="AA587" s="86"/>
    </row>
    <row r="588">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c r="AA588" s="86"/>
    </row>
    <row r="589">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c r="AA589" s="86"/>
    </row>
    <row r="590">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c r="AA590" s="86"/>
    </row>
    <row r="59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c r="AA591" s="86"/>
    </row>
    <row r="59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c r="AA592" s="86"/>
    </row>
    <row r="593">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c r="AA593" s="86"/>
    </row>
    <row r="594">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c r="AA594" s="86"/>
    </row>
    <row r="595">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c r="AA595" s="86"/>
    </row>
    <row r="596">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c r="AA596" s="86"/>
    </row>
    <row r="597">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c r="AA597" s="86"/>
    </row>
    <row r="598">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c r="AA598" s="86"/>
    </row>
    <row r="599">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c r="AA599" s="86"/>
    </row>
    <row r="600">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c r="AA600" s="86"/>
    </row>
    <row r="60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c r="AA601" s="86"/>
    </row>
    <row r="6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c r="AA602" s="86"/>
    </row>
    <row r="603">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c r="AA603" s="86"/>
    </row>
    <row r="604">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row>
    <row r="605">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c r="AA605" s="86"/>
    </row>
    <row r="606">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c r="AA606" s="86"/>
    </row>
    <row r="607">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c r="AA607" s="86"/>
    </row>
    <row r="608">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c r="AA608" s="86"/>
    </row>
    <row r="609">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c r="AA609" s="86"/>
    </row>
    <row r="610">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c r="AA610" s="86"/>
    </row>
    <row r="61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c r="AA611" s="86"/>
    </row>
    <row r="61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c r="AA612" s="86"/>
    </row>
    <row r="613">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c r="AA613" s="86"/>
    </row>
    <row r="614">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c r="AA614" s="86"/>
    </row>
    <row r="615">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c r="AA615" s="86"/>
    </row>
    <row r="616">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c r="AA616" s="86"/>
    </row>
    <row r="617">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c r="AA617" s="86"/>
    </row>
    <row r="618">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c r="AA618" s="86"/>
    </row>
    <row r="619">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c r="AA619" s="86"/>
    </row>
    <row r="620">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c r="AA620" s="86"/>
    </row>
    <row r="62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c r="AA621" s="86"/>
    </row>
    <row r="62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c r="AA622" s="86"/>
    </row>
    <row r="623">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c r="AA623" s="86"/>
    </row>
    <row r="624">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c r="AA624" s="86"/>
    </row>
    <row r="625">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row>
    <row r="626">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c r="AA626" s="86"/>
    </row>
    <row r="627">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c r="AA627" s="86"/>
    </row>
    <row r="628">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c r="AA628" s="86"/>
    </row>
    <row r="629">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row>
    <row r="630">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c r="AA630" s="86"/>
    </row>
    <row r="63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c r="AA631" s="86"/>
    </row>
    <row r="63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c r="AA632" s="86"/>
    </row>
    <row r="633">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c r="AA633" s="86"/>
    </row>
    <row r="634">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c r="AA634" s="86"/>
    </row>
    <row r="635">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c r="AA635" s="86"/>
    </row>
    <row r="636">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c r="AA636" s="86"/>
    </row>
    <row r="637">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c r="AA637" s="86"/>
    </row>
    <row r="638">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c r="AA638" s="86"/>
    </row>
    <row r="639">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c r="AA639" s="86"/>
    </row>
    <row r="640">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c r="AA640" s="86"/>
    </row>
    <row r="64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c r="AA641" s="86"/>
    </row>
    <row r="64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c r="AA642" s="86"/>
    </row>
    <row r="643">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c r="AA643" s="86"/>
    </row>
    <row r="644">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c r="AA644" s="86"/>
    </row>
    <row r="645">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row>
    <row r="646">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c r="AA646" s="86"/>
    </row>
    <row r="647">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c r="AA647" s="86"/>
    </row>
    <row r="648">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c r="AA648" s="86"/>
    </row>
    <row r="649">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c r="AA649" s="86"/>
    </row>
    <row r="650">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c r="AA650" s="86"/>
    </row>
    <row r="65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c r="AA651" s="86"/>
    </row>
    <row r="65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c r="AA652" s="86"/>
    </row>
    <row r="653">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c r="AA653" s="86"/>
    </row>
    <row r="654">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c r="AA654" s="86"/>
    </row>
    <row r="655">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c r="AA655" s="86"/>
    </row>
    <row r="656">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c r="AA656" s="86"/>
    </row>
    <row r="657">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c r="AA657" s="86"/>
    </row>
    <row r="658">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c r="AA658" s="86"/>
    </row>
    <row r="659">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c r="AA659" s="86"/>
    </row>
    <row r="660">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c r="AA660" s="86"/>
    </row>
    <row r="66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c r="AA661" s="86"/>
    </row>
    <row r="66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c r="AA662" s="86"/>
    </row>
    <row r="663">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c r="AA663" s="86"/>
    </row>
    <row r="664">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c r="AA664" s="86"/>
    </row>
    <row r="665">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c r="AA665" s="86"/>
    </row>
    <row r="666">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row>
    <row r="667">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c r="AA667" s="86"/>
    </row>
    <row r="668">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c r="AA668" s="86"/>
    </row>
    <row r="669">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c r="AA669" s="86"/>
    </row>
    <row r="670">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row>
    <row r="67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c r="AA671" s="86"/>
    </row>
    <row r="67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c r="AA672" s="86"/>
    </row>
    <row r="673">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c r="AA673" s="86"/>
    </row>
    <row r="674">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c r="AA674" s="86"/>
    </row>
    <row r="675">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c r="AA675" s="86"/>
    </row>
    <row r="676">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c r="AA676" s="86"/>
    </row>
    <row r="677">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c r="AA677" s="86"/>
    </row>
    <row r="678">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c r="AA678" s="86"/>
    </row>
    <row r="679">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c r="AA679" s="86"/>
    </row>
    <row r="680">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c r="AA680" s="86"/>
    </row>
    <row r="68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c r="AA681" s="86"/>
    </row>
    <row r="68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c r="AA682" s="86"/>
    </row>
    <row r="683">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row>
    <row r="684">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row>
    <row r="685">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c r="AA685" s="86"/>
    </row>
    <row r="686">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c r="AA686" s="86"/>
    </row>
    <row r="687">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c r="AA687" s="86"/>
    </row>
    <row r="688">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c r="AA688" s="86"/>
    </row>
    <row r="689">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c r="AA689" s="86"/>
    </row>
    <row r="690">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c r="AA690" s="86"/>
    </row>
    <row r="69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c r="AA691" s="86"/>
    </row>
    <row r="69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c r="AA692" s="86"/>
    </row>
    <row r="693">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c r="AA693" s="86"/>
    </row>
    <row r="694">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c r="AA694" s="86"/>
    </row>
    <row r="695">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c r="AA695" s="86"/>
    </row>
    <row r="696">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c r="AA696" s="86"/>
    </row>
    <row r="697">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c r="AA697" s="86"/>
    </row>
    <row r="698">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c r="AA698" s="86"/>
    </row>
    <row r="699">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c r="AA699" s="86"/>
    </row>
    <row r="700">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c r="AA700" s="86"/>
    </row>
    <row r="70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c r="AA701" s="86"/>
    </row>
    <row r="7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c r="AA702" s="86"/>
    </row>
    <row r="703">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c r="AA703" s="86"/>
    </row>
    <row r="704">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c r="AA704" s="86"/>
    </row>
    <row r="705">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c r="AA705" s="86"/>
    </row>
    <row r="706">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c r="AA706" s="86"/>
    </row>
    <row r="707">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c r="AA707" s="86"/>
    </row>
    <row r="708">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c r="AA708" s="86"/>
    </row>
    <row r="709">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c r="AA709" s="86"/>
    </row>
    <row r="710">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c r="AA710" s="86"/>
    </row>
    <row r="71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c r="AA711" s="86"/>
    </row>
    <row r="71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c r="AA712" s="86"/>
    </row>
    <row r="713">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c r="AA713" s="86"/>
    </row>
    <row r="714">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c r="AA714" s="86"/>
    </row>
    <row r="715">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c r="AA715" s="86"/>
    </row>
    <row r="716">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c r="AA716" s="86"/>
    </row>
    <row r="717">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c r="AA717" s="86"/>
    </row>
    <row r="718">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c r="AA718" s="86"/>
    </row>
    <row r="719">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c r="AA719" s="86"/>
    </row>
    <row r="720">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c r="AA720" s="86"/>
    </row>
    <row r="72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row>
    <row r="72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c r="AA722" s="86"/>
    </row>
    <row r="723">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c r="AA723" s="86"/>
    </row>
    <row r="724">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c r="AA724" s="86"/>
    </row>
    <row r="725">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c r="AA725" s="86"/>
    </row>
    <row r="726">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c r="AA726" s="86"/>
    </row>
    <row r="727">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c r="AA727" s="86"/>
    </row>
    <row r="728">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c r="AA728" s="86"/>
    </row>
    <row r="729">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c r="AA729" s="86"/>
    </row>
    <row r="730">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c r="AA730" s="86"/>
    </row>
    <row r="73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c r="AA731" s="86"/>
    </row>
    <row r="73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c r="AA732" s="86"/>
    </row>
    <row r="733">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c r="AA733" s="86"/>
    </row>
    <row r="734">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c r="AA734" s="86"/>
    </row>
    <row r="735">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c r="AA735" s="86"/>
    </row>
    <row r="736">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c r="AA736" s="86"/>
    </row>
    <row r="737">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c r="AA737" s="86"/>
    </row>
    <row r="738">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c r="AA738" s="86"/>
    </row>
    <row r="739">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c r="AA739" s="86"/>
    </row>
    <row r="740">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c r="AA740" s="86"/>
    </row>
    <row r="74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c r="AA741" s="86"/>
    </row>
    <row r="74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c r="AA742" s="86"/>
    </row>
    <row r="743">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c r="AA743" s="86"/>
    </row>
    <row r="744">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c r="AA744" s="86"/>
    </row>
    <row r="745">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c r="AA745" s="86"/>
    </row>
    <row r="746">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c r="AA746" s="86"/>
    </row>
    <row r="747">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c r="AA747" s="86"/>
    </row>
    <row r="748">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c r="AA748" s="86"/>
    </row>
    <row r="749">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c r="AA749" s="86"/>
    </row>
    <row r="750">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c r="AA750" s="86"/>
    </row>
    <row r="75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c r="AA751" s="86"/>
    </row>
    <row r="75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c r="AA752" s="86"/>
    </row>
    <row r="753">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c r="AA753" s="86"/>
    </row>
    <row r="754">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c r="AA754" s="86"/>
    </row>
    <row r="755">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c r="AA755" s="86"/>
    </row>
    <row r="756">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c r="AA756" s="86"/>
    </row>
    <row r="757">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c r="AA757" s="86"/>
    </row>
    <row r="758">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c r="AA758" s="86"/>
    </row>
    <row r="759">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c r="AA759" s="86"/>
    </row>
    <row r="760">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c r="AA760" s="86"/>
    </row>
    <row r="76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c r="AA761" s="86"/>
    </row>
    <row r="76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c r="AA762" s="86"/>
    </row>
    <row r="763">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c r="AA763" s="86"/>
    </row>
    <row r="764">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c r="AA764" s="86"/>
    </row>
    <row r="765">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c r="AA765" s="86"/>
    </row>
    <row r="766">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c r="AA766" s="86"/>
    </row>
    <row r="767">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c r="AA767" s="86"/>
    </row>
    <row r="768">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c r="AA768" s="86"/>
    </row>
    <row r="769">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c r="AA769" s="86"/>
    </row>
    <row r="770">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c r="AA770" s="86"/>
    </row>
    <row r="77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c r="AA771" s="86"/>
    </row>
    <row r="77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c r="AA772" s="86"/>
    </row>
    <row r="773">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c r="AA773" s="86"/>
    </row>
    <row r="774">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c r="AA774" s="86"/>
    </row>
    <row r="775">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c r="AA775" s="86"/>
    </row>
    <row r="776">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c r="AA776" s="86"/>
    </row>
    <row r="777">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c r="AA777" s="86"/>
    </row>
    <row r="778">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c r="AA778" s="86"/>
    </row>
    <row r="779">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c r="AA779" s="86"/>
    </row>
    <row r="780">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c r="AA780" s="86"/>
    </row>
    <row r="78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c r="AA781" s="86"/>
    </row>
    <row r="78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c r="AA782" s="86"/>
    </row>
    <row r="783">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c r="AA783" s="86"/>
    </row>
    <row r="784">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c r="AA784" s="86"/>
    </row>
    <row r="785">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c r="AA785" s="86"/>
    </row>
    <row r="786">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c r="AA786" s="86"/>
    </row>
    <row r="787">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c r="AA787" s="86"/>
    </row>
    <row r="788">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c r="AA788" s="86"/>
    </row>
    <row r="789">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c r="AA789" s="86"/>
    </row>
    <row r="790">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c r="AA790" s="86"/>
    </row>
    <row r="79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c r="AA791" s="86"/>
    </row>
    <row r="79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c r="AA792" s="86"/>
    </row>
    <row r="793">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c r="AA793" s="86"/>
    </row>
    <row r="794">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c r="AA794" s="86"/>
    </row>
    <row r="795">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c r="AA795" s="86"/>
    </row>
    <row r="796">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c r="AA796" s="86"/>
    </row>
    <row r="797">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c r="AA797" s="86"/>
    </row>
    <row r="798">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c r="AA798" s="86"/>
    </row>
    <row r="799">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c r="AA799" s="86"/>
    </row>
    <row r="800">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c r="AA800" s="86"/>
    </row>
    <row r="80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c r="AA801" s="86"/>
    </row>
    <row r="8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c r="AA802" s="86"/>
    </row>
    <row r="803">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c r="AA803" s="86"/>
    </row>
    <row r="804">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c r="AA804" s="86"/>
    </row>
    <row r="805">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c r="AA805" s="86"/>
    </row>
    <row r="806">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c r="AA806" s="86"/>
    </row>
    <row r="807">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c r="AA807" s="86"/>
    </row>
    <row r="808">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c r="AA808" s="86"/>
    </row>
    <row r="809">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c r="AA809" s="86"/>
    </row>
    <row r="810">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c r="AA810" s="86"/>
    </row>
    <row r="81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c r="AA811" s="86"/>
    </row>
    <row r="81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c r="AA812" s="86"/>
    </row>
    <row r="813">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c r="AA813" s="86"/>
    </row>
    <row r="814">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c r="AA814" s="86"/>
    </row>
    <row r="815">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c r="AA815" s="86"/>
    </row>
    <row r="816">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c r="AA816" s="86"/>
    </row>
    <row r="817">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c r="AA817" s="86"/>
    </row>
    <row r="818">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c r="AA818" s="86"/>
    </row>
    <row r="819">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c r="AA819" s="86"/>
    </row>
    <row r="820">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c r="AA820" s="86"/>
    </row>
    <row r="82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c r="AA821" s="86"/>
    </row>
    <row r="82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c r="AA822" s="86"/>
    </row>
    <row r="823">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c r="AA823" s="86"/>
    </row>
    <row r="824">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c r="AA824" s="86"/>
    </row>
    <row r="825">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c r="AA825" s="86"/>
    </row>
    <row r="826">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c r="AA826" s="86"/>
    </row>
    <row r="827">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c r="AA827" s="86"/>
    </row>
    <row r="828">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c r="AA828" s="86"/>
    </row>
    <row r="829">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c r="AA829" s="86"/>
    </row>
    <row r="830">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c r="AA830" s="86"/>
    </row>
    <row r="83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c r="AA831" s="86"/>
    </row>
    <row r="83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c r="AA832" s="86"/>
    </row>
    <row r="833">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c r="AA833" s="86"/>
    </row>
    <row r="834">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c r="AA834" s="86"/>
    </row>
    <row r="835">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c r="AA835" s="86"/>
    </row>
    <row r="836">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c r="AA836" s="86"/>
    </row>
    <row r="837">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c r="AA837" s="86"/>
    </row>
    <row r="838">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c r="AA838" s="86"/>
    </row>
    <row r="839">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c r="AA839" s="86"/>
    </row>
    <row r="840">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c r="AA840" s="86"/>
    </row>
    <row r="84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c r="AA841" s="86"/>
    </row>
    <row r="84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c r="AA842" s="86"/>
    </row>
    <row r="843">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c r="AA843" s="86"/>
    </row>
    <row r="844">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c r="AA844" s="86"/>
    </row>
    <row r="845">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c r="AA845" s="86"/>
    </row>
    <row r="846">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c r="AA846" s="86"/>
    </row>
    <row r="847">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c r="AA847" s="86"/>
    </row>
    <row r="848">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c r="AA848" s="86"/>
    </row>
    <row r="849">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c r="AA849" s="86"/>
    </row>
    <row r="850">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c r="AA850" s="86"/>
    </row>
    <row r="85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c r="AA851" s="86"/>
    </row>
    <row r="85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c r="AA852" s="86"/>
    </row>
    <row r="853">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c r="AA853" s="86"/>
    </row>
    <row r="854">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c r="AA854" s="86"/>
    </row>
    <row r="855">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c r="AA855" s="86"/>
    </row>
    <row r="856">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c r="AA856" s="86"/>
    </row>
    <row r="857">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c r="AA857" s="86"/>
    </row>
    <row r="858">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c r="AA858" s="86"/>
    </row>
    <row r="859">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c r="AA859" s="86"/>
    </row>
    <row r="860">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c r="AA860" s="86"/>
    </row>
    <row r="86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c r="AA861" s="86"/>
    </row>
    <row r="86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c r="AA862" s="86"/>
    </row>
    <row r="863">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c r="AA863" s="86"/>
    </row>
    <row r="864">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c r="AA864" s="86"/>
    </row>
    <row r="865">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c r="AA865" s="86"/>
    </row>
    <row r="866">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c r="AA866" s="86"/>
    </row>
    <row r="867">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c r="AA867" s="86"/>
    </row>
    <row r="868">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c r="AA868" s="86"/>
    </row>
    <row r="869">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row>
    <row r="870">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c r="AA870" s="86"/>
    </row>
    <row r="87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c r="AA871" s="86"/>
    </row>
    <row r="87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c r="AA872" s="86"/>
    </row>
    <row r="873">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c r="AA873" s="86"/>
    </row>
    <row r="874">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c r="AA874" s="86"/>
    </row>
    <row r="875">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c r="AA875" s="86"/>
    </row>
    <row r="876">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c r="AA876" s="86"/>
    </row>
    <row r="877">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c r="AA877" s="86"/>
    </row>
    <row r="878">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c r="AA878" s="86"/>
    </row>
    <row r="879">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c r="AA879" s="86"/>
    </row>
    <row r="880">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c r="AA880" s="86"/>
    </row>
    <row r="88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c r="AA881" s="86"/>
    </row>
    <row r="88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c r="AA882" s="86"/>
    </row>
    <row r="883">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c r="AA883" s="86"/>
    </row>
    <row r="884">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c r="AA884" s="86"/>
    </row>
    <row r="885">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c r="AA885" s="86"/>
    </row>
    <row r="886">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c r="AA886" s="86"/>
    </row>
    <row r="887">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c r="AA887" s="86"/>
    </row>
    <row r="888">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c r="AA888" s="86"/>
    </row>
    <row r="889">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c r="AA889" s="86"/>
    </row>
    <row r="890">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c r="AA890" s="86"/>
    </row>
    <row r="89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row>
    <row r="89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c r="AA892" s="86"/>
    </row>
    <row r="893">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c r="AA893" s="86"/>
    </row>
    <row r="894">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c r="AA894" s="86"/>
    </row>
    <row r="895">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c r="AA895" s="86"/>
    </row>
    <row r="896">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c r="AA896" s="86"/>
    </row>
    <row r="897">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c r="AA897" s="86"/>
    </row>
    <row r="898">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c r="AA898" s="86"/>
    </row>
    <row r="899">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c r="AA899" s="86"/>
    </row>
    <row r="900">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c r="AA900" s="86"/>
    </row>
    <row r="90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c r="AA901" s="86"/>
    </row>
    <row r="9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c r="AA902" s="86"/>
    </row>
    <row r="903">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c r="AA903" s="86"/>
    </row>
    <row r="904">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c r="AA904" s="86"/>
    </row>
    <row r="905">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c r="AA905" s="86"/>
    </row>
    <row r="906">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c r="AA906" s="86"/>
    </row>
    <row r="907">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c r="AA907" s="86"/>
    </row>
    <row r="908">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c r="AA908" s="86"/>
    </row>
    <row r="909">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c r="AA909" s="86"/>
    </row>
    <row r="910">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c r="AA910" s="86"/>
    </row>
    <row r="91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c r="AA911" s="86"/>
    </row>
    <row r="91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c r="AA912" s="86"/>
    </row>
    <row r="913">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c r="AA913" s="86"/>
    </row>
    <row r="914">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c r="AA914" s="86"/>
    </row>
    <row r="915">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c r="AA915" s="86"/>
    </row>
    <row r="916">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c r="AA916" s="86"/>
    </row>
    <row r="917">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c r="AA917" s="86"/>
    </row>
    <row r="918">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c r="AA918" s="86"/>
    </row>
    <row r="919">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c r="AA919" s="86"/>
    </row>
    <row r="920">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c r="AA920" s="86"/>
    </row>
    <row r="92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c r="AA921" s="86"/>
    </row>
    <row r="92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c r="AA922" s="86"/>
    </row>
    <row r="923">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c r="AA923" s="86"/>
    </row>
    <row r="924">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c r="AA924" s="86"/>
    </row>
    <row r="925">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c r="AA925" s="86"/>
    </row>
    <row r="926">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c r="AA926" s="86"/>
    </row>
    <row r="927">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c r="AA927" s="86"/>
    </row>
    <row r="928">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c r="AA928" s="86"/>
    </row>
    <row r="929">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c r="AA929" s="86"/>
    </row>
    <row r="930">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c r="AA930" s="86"/>
    </row>
    <row r="93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c r="AA931" s="86"/>
    </row>
    <row r="93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c r="AA932" s="86"/>
    </row>
    <row r="933">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c r="AA933" s="86"/>
    </row>
    <row r="934">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c r="AA934" s="86"/>
    </row>
    <row r="935">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c r="AA935" s="86"/>
    </row>
    <row r="936">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c r="AA936" s="86"/>
    </row>
    <row r="937">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c r="AA937" s="86"/>
    </row>
    <row r="938">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c r="AA938" s="86"/>
    </row>
    <row r="939">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c r="AA939" s="86"/>
    </row>
    <row r="940">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c r="AA940" s="86"/>
    </row>
    <row r="94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c r="AA941" s="86"/>
    </row>
    <row r="94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c r="AA942" s="86"/>
    </row>
    <row r="943">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c r="AA943" s="86"/>
    </row>
    <row r="944">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c r="AA944" s="86"/>
    </row>
    <row r="945">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c r="AA945" s="86"/>
    </row>
    <row r="946">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c r="AA946" s="86"/>
    </row>
    <row r="947">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c r="AA947" s="86"/>
    </row>
    <row r="948">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c r="AA948" s="86"/>
    </row>
    <row r="949">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c r="AA949" s="86"/>
    </row>
    <row r="950">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c r="AA950" s="86"/>
    </row>
    <row r="95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c r="AA951" s="86"/>
    </row>
    <row r="95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c r="AA952" s="86"/>
    </row>
    <row r="953">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c r="AA953" s="86"/>
    </row>
    <row r="954">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c r="AA954" s="86"/>
    </row>
    <row r="955">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c r="AA955" s="86"/>
    </row>
    <row r="956">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c r="AA956" s="86"/>
    </row>
    <row r="957">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c r="AA957" s="86"/>
    </row>
    <row r="958">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c r="AA958" s="86"/>
    </row>
    <row r="959">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c r="AA959" s="86"/>
    </row>
    <row r="960">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c r="AA960" s="86"/>
    </row>
    <row r="96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c r="AA961" s="86"/>
    </row>
    <row r="96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c r="AA962" s="86"/>
    </row>
    <row r="963">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c r="AA963" s="86"/>
    </row>
    <row r="964">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c r="AA964" s="86"/>
    </row>
    <row r="965">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c r="AA965" s="86"/>
    </row>
    <row r="966">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c r="AA966" s="86"/>
    </row>
    <row r="967">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c r="AA967" s="86"/>
    </row>
    <row r="968">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c r="AA968" s="86"/>
    </row>
    <row r="969">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c r="AA969" s="86"/>
    </row>
    <row r="970">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c r="AA970" s="86"/>
    </row>
    <row r="97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c r="AA971" s="86"/>
    </row>
    <row r="97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c r="AA972" s="86"/>
    </row>
    <row r="973">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c r="AA973" s="86"/>
    </row>
    <row r="974">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c r="AA974" s="86"/>
    </row>
    <row r="975">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c r="AA975" s="86"/>
    </row>
    <row r="976">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c r="AA976" s="86"/>
    </row>
    <row r="977">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c r="AA977" s="86"/>
    </row>
    <row r="978">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c r="AA978" s="86"/>
    </row>
    <row r="979">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c r="AA979" s="86"/>
    </row>
    <row r="980">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c r="AA980" s="86"/>
    </row>
    <row r="98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c r="AA981" s="86"/>
    </row>
  </sheetData>
  <mergeCells count="7">
    <mergeCell ref="A1:H1"/>
    <mergeCell ref="B15:C15"/>
    <mergeCell ref="B21:C21"/>
    <mergeCell ref="B27:C27"/>
    <mergeCell ref="C32:G32"/>
    <mergeCell ref="H32:L32"/>
    <mergeCell ref="N32:R3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88"/>
    <col customWidth="1" min="5" max="5" width="14.0"/>
    <col customWidth="1" min="6" max="6" width="1.75"/>
  </cols>
  <sheetData>
    <row r="1">
      <c r="A1" s="12" t="s">
        <v>550</v>
      </c>
      <c r="B1" s="2"/>
      <c r="C1" s="2"/>
      <c r="D1" s="2"/>
      <c r="E1" s="2"/>
      <c r="F1" s="2"/>
      <c r="G1" s="3"/>
    </row>
    <row r="2">
      <c r="A2" s="114"/>
      <c r="B2" s="86"/>
      <c r="C2" s="86"/>
      <c r="D2" s="86"/>
      <c r="E2" s="86"/>
    </row>
    <row r="3">
      <c r="A3" s="114" t="s">
        <v>551</v>
      </c>
      <c r="B3" s="86"/>
      <c r="C3" s="86"/>
      <c r="D3" s="86"/>
      <c r="E3" s="86"/>
    </row>
    <row r="4">
      <c r="A4" s="115" t="s">
        <v>552</v>
      </c>
      <c r="B4" s="115" t="s">
        <v>553</v>
      </c>
      <c r="C4" s="115" t="s">
        <v>554</v>
      </c>
      <c r="D4" s="115" t="s">
        <v>555</v>
      </c>
      <c r="E4" s="115" t="s">
        <v>556</v>
      </c>
      <c r="G4" s="115" t="s">
        <v>557</v>
      </c>
    </row>
    <row r="5">
      <c r="A5" s="116" t="s">
        <v>558</v>
      </c>
      <c r="B5" s="117">
        <v>2.98275E7</v>
      </c>
      <c r="C5" s="117">
        <v>1000000.0</v>
      </c>
      <c r="D5" s="117">
        <v>5000000.0</v>
      </c>
      <c r="E5" s="118">
        <v>14.0</v>
      </c>
      <c r="G5" s="119" t="s">
        <v>94</v>
      </c>
    </row>
    <row r="6">
      <c r="A6" s="116" t="s">
        <v>559</v>
      </c>
      <c r="B6" s="117">
        <v>1.4697E7</v>
      </c>
      <c r="C6" s="117">
        <v>67000.0</v>
      </c>
      <c r="D6" s="117">
        <v>1300000.0</v>
      </c>
      <c r="E6" s="118">
        <v>70.0</v>
      </c>
      <c r="G6" s="119">
        <v>1.231865E7</v>
      </c>
    </row>
    <row r="7">
      <c r="A7" s="116" t="s">
        <v>560</v>
      </c>
      <c r="B7" s="117">
        <v>9815076.0</v>
      </c>
      <c r="C7" s="117">
        <v>244000.0</v>
      </c>
      <c r="D7" s="117">
        <v>3200000.0</v>
      </c>
      <c r="E7" s="118">
        <v>25.0</v>
      </c>
      <c r="G7" s="119" t="s">
        <v>94</v>
      </c>
    </row>
    <row r="8">
      <c r="A8" s="116" t="s">
        <v>561</v>
      </c>
      <c r="B8" s="117">
        <v>9270000.0</v>
      </c>
      <c r="C8" s="117">
        <v>1750000.0</v>
      </c>
      <c r="D8" s="117">
        <v>2150000.0</v>
      </c>
      <c r="E8" s="118">
        <v>6.0</v>
      </c>
      <c r="G8" s="119" t="s">
        <v>94</v>
      </c>
    </row>
    <row r="9">
      <c r="A9" s="116" t="s">
        <v>562</v>
      </c>
      <c r="B9" s="117">
        <v>3533936.39</v>
      </c>
      <c r="C9" s="117">
        <v>2854.99</v>
      </c>
      <c r="D9" s="117">
        <v>1896709.0</v>
      </c>
      <c r="E9" s="118">
        <v>21.0</v>
      </c>
      <c r="G9" s="119" t="s">
        <v>94</v>
      </c>
    </row>
    <row r="10">
      <c r="A10" s="116" t="s">
        <v>563</v>
      </c>
      <c r="B10" s="117">
        <v>2925063.0</v>
      </c>
      <c r="C10" s="117">
        <v>264500.0</v>
      </c>
      <c r="D10" s="117">
        <v>1740000.0</v>
      </c>
      <c r="E10" s="118">
        <v>9.0</v>
      </c>
      <c r="G10" s="119" t="s">
        <v>94</v>
      </c>
    </row>
    <row r="11">
      <c r="A11" s="116" t="s">
        <v>564</v>
      </c>
      <c r="B11" s="117">
        <v>2804331.0</v>
      </c>
      <c r="C11" s="117">
        <v>259500.0</v>
      </c>
      <c r="D11" s="117">
        <v>279500.0</v>
      </c>
      <c r="E11" s="118">
        <v>15.0</v>
      </c>
      <c r="G11" s="119" t="s">
        <v>94</v>
      </c>
    </row>
    <row r="12">
      <c r="A12" s="116" t="s">
        <v>565</v>
      </c>
      <c r="B12" s="117">
        <v>2353897.0</v>
      </c>
      <c r="C12" s="117">
        <v>244500.0</v>
      </c>
      <c r="D12" s="117">
        <v>670000.0</v>
      </c>
      <c r="E12" s="118">
        <v>9.0</v>
      </c>
      <c r="G12" s="119" t="s">
        <v>94</v>
      </c>
    </row>
    <row r="13">
      <c r="A13" s="116" t="s">
        <v>566</v>
      </c>
      <c r="B13" s="117">
        <v>2077371.0</v>
      </c>
      <c r="C13" s="117">
        <v>264000.0</v>
      </c>
      <c r="D13" s="117">
        <v>372117.0</v>
      </c>
      <c r="E13" s="118">
        <v>9.0</v>
      </c>
      <c r="G13" s="119">
        <v>1917067.0</v>
      </c>
    </row>
    <row r="14">
      <c r="A14" s="86"/>
      <c r="B14" s="86"/>
      <c r="C14" s="86"/>
      <c r="D14" s="86"/>
      <c r="E14" s="86"/>
    </row>
    <row r="15">
      <c r="A15" s="86"/>
      <c r="B15" s="86"/>
      <c r="C15" s="86"/>
      <c r="D15" s="86"/>
      <c r="E15" s="86"/>
    </row>
    <row r="16">
      <c r="A16" s="114" t="s">
        <v>567</v>
      </c>
      <c r="B16" s="86"/>
      <c r="C16" s="86"/>
      <c r="D16" s="86"/>
      <c r="E16" s="86"/>
    </row>
    <row r="17">
      <c r="A17" s="120" t="s">
        <v>552</v>
      </c>
      <c r="B17" s="115" t="s">
        <v>553</v>
      </c>
      <c r="C17" s="115" t="s">
        <v>554</v>
      </c>
      <c r="D17" s="115" t="s">
        <v>555</v>
      </c>
      <c r="E17" s="115" t="s">
        <v>556</v>
      </c>
      <c r="G17" s="115" t="s">
        <v>557</v>
      </c>
    </row>
    <row r="18">
      <c r="A18" s="121" t="s">
        <v>568</v>
      </c>
      <c r="B18" s="117">
        <v>4.2648E7</v>
      </c>
      <c r="C18" s="117">
        <v>1500000.0</v>
      </c>
      <c r="D18" s="117">
        <v>5000000.0</v>
      </c>
      <c r="E18" s="118">
        <v>22.0</v>
      </c>
      <c r="G18" s="119" t="s">
        <v>94</v>
      </c>
    </row>
    <row r="19">
      <c r="A19" s="121" t="s">
        <v>569</v>
      </c>
      <c r="B19" s="117">
        <v>3.79322E7</v>
      </c>
      <c r="C19" s="117">
        <v>175000.0</v>
      </c>
      <c r="D19" s="117">
        <v>5000000.0</v>
      </c>
      <c r="E19" s="118">
        <v>108.0</v>
      </c>
      <c r="G19" s="119" t="s">
        <v>94</v>
      </c>
    </row>
    <row r="20">
      <c r="A20" s="121" t="s">
        <v>570</v>
      </c>
      <c r="B20" s="117">
        <v>1.538805E7</v>
      </c>
      <c r="C20" s="117">
        <v>43077.5</v>
      </c>
      <c r="D20" s="117">
        <v>1000000.0</v>
      </c>
      <c r="E20" s="118">
        <v>94.0</v>
      </c>
      <c r="G20" s="119">
        <v>1.726508E7</v>
      </c>
    </row>
    <row r="21">
      <c r="A21" s="121" t="s">
        <v>571</v>
      </c>
      <c r="B21" s="117">
        <v>1.0237486E7</v>
      </c>
      <c r="C21" s="117">
        <v>100000.0</v>
      </c>
      <c r="D21" s="117">
        <v>5500000.0</v>
      </c>
      <c r="E21" s="118">
        <v>17.0</v>
      </c>
      <c r="G21" s="119">
        <v>1.1117382E7</v>
      </c>
    </row>
    <row r="22">
      <c r="A22" s="121" t="s">
        <v>572</v>
      </c>
      <c r="B22" s="117">
        <v>8831978.0</v>
      </c>
      <c r="C22" s="117">
        <v>130667.5</v>
      </c>
      <c r="D22" s="117">
        <v>1222834.0</v>
      </c>
      <c r="E22" s="118">
        <v>28.0</v>
      </c>
      <c r="G22" s="119" t="s">
        <v>94</v>
      </c>
    </row>
    <row r="23">
      <c r="A23" s="121" t="s">
        <v>573</v>
      </c>
      <c r="B23" s="117">
        <v>6415455.0</v>
      </c>
      <c r="C23" s="117">
        <v>50000.0</v>
      </c>
      <c r="D23" s="117">
        <v>623700.0</v>
      </c>
      <c r="E23" s="118">
        <v>39.0</v>
      </c>
      <c r="G23" s="119" t="s">
        <v>94</v>
      </c>
    </row>
    <row r="24">
      <c r="A24" s="121" t="s">
        <v>574</v>
      </c>
      <c r="B24" s="117">
        <v>3633795.0</v>
      </c>
      <c r="C24" s="117">
        <v>25716.0</v>
      </c>
      <c r="D24" s="117">
        <v>930431.0</v>
      </c>
      <c r="E24" s="118">
        <v>41.0</v>
      </c>
      <c r="G24" s="119" t="s">
        <v>94</v>
      </c>
    </row>
    <row r="25">
      <c r="A25" s="121" t="s">
        <v>575</v>
      </c>
      <c r="B25" s="117">
        <v>3336046.0</v>
      </c>
      <c r="C25" s="117">
        <v>38137.5</v>
      </c>
      <c r="D25" s="117">
        <v>2500000.0</v>
      </c>
      <c r="E25" s="118">
        <v>16.0</v>
      </c>
      <c r="G25" s="119" t="s">
        <v>94</v>
      </c>
    </row>
    <row r="26">
      <c r="A26" s="121" t="s">
        <v>576</v>
      </c>
      <c r="B26" s="117">
        <v>2521752.0</v>
      </c>
      <c r="C26" s="117">
        <v>138100.0</v>
      </c>
      <c r="D26" s="117">
        <v>1100000.0</v>
      </c>
      <c r="E26" s="118">
        <v>11.0</v>
      </c>
      <c r="G26" s="119">
        <v>2521752.0</v>
      </c>
    </row>
  </sheetData>
  <mergeCells count="1">
    <mergeCell ref="A1:G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
    <col customWidth="1" min="2" max="2" width="4.63"/>
    <col customWidth="1" min="3" max="3" width="23.13"/>
    <col customWidth="1" min="4" max="4" width="32.63"/>
    <col customWidth="1" min="6" max="6" width="14.0"/>
  </cols>
  <sheetData>
    <row r="1">
      <c r="A1" s="122"/>
      <c r="B1" s="123" t="s">
        <v>577</v>
      </c>
      <c r="C1" s="124"/>
      <c r="D1" s="124"/>
      <c r="E1" s="124"/>
      <c r="F1" s="124"/>
      <c r="G1" s="124"/>
      <c r="H1" s="124"/>
      <c r="I1" s="124"/>
      <c r="J1" s="125"/>
      <c r="K1" s="126"/>
      <c r="L1" s="126"/>
      <c r="M1" s="126"/>
      <c r="N1" s="126"/>
      <c r="O1" s="126"/>
      <c r="P1" s="126"/>
      <c r="Q1" s="126"/>
      <c r="R1" s="126"/>
      <c r="S1" s="126"/>
      <c r="T1" s="126"/>
      <c r="U1" s="126"/>
      <c r="V1" s="126"/>
      <c r="W1" s="126"/>
      <c r="X1" s="126"/>
      <c r="Y1" s="126"/>
      <c r="Z1" s="126"/>
      <c r="AA1" s="126"/>
    </row>
    <row r="2">
      <c r="A2" s="127"/>
      <c r="B2" s="128"/>
      <c r="C2" s="124"/>
      <c r="D2" s="124"/>
      <c r="E2" s="124"/>
      <c r="F2" s="124"/>
      <c r="G2" s="124"/>
      <c r="H2" s="124"/>
      <c r="I2" s="124"/>
      <c r="J2" s="125"/>
      <c r="K2" s="126"/>
      <c r="L2" s="126"/>
      <c r="M2" s="126"/>
      <c r="N2" s="126"/>
      <c r="O2" s="126"/>
      <c r="P2" s="126"/>
      <c r="Q2" s="126"/>
      <c r="R2" s="126"/>
      <c r="S2" s="126"/>
      <c r="T2" s="126"/>
      <c r="U2" s="126"/>
      <c r="V2" s="126"/>
      <c r="W2" s="126"/>
      <c r="X2" s="126"/>
      <c r="Y2" s="126"/>
      <c r="Z2" s="126"/>
      <c r="AA2" s="126"/>
    </row>
    <row r="3">
      <c r="A3" s="129"/>
      <c r="B3" s="130" t="s">
        <v>578</v>
      </c>
      <c r="C3" s="130" t="s">
        <v>579</v>
      </c>
      <c r="D3" s="130" t="s">
        <v>18</v>
      </c>
      <c r="E3" s="130" t="s">
        <v>580</v>
      </c>
      <c r="F3" s="131" t="s">
        <v>581</v>
      </c>
      <c r="G3" s="130" t="s">
        <v>582</v>
      </c>
      <c r="H3" s="131" t="s">
        <v>583</v>
      </c>
      <c r="I3" s="130" t="s">
        <v>584</v>
      </c>
      <c r="J3" s="130" t="s">
        <v>585</v>
      </c>
      <c r="K3" s="126"/>
      <c r="L3" s="126"/>
      <c r="M3" s="126"/>
      <c r="N3" s="126"/>
      <c r="O3" s="126"/>
      <c r="P3" s="126"/>
      <c r="Q3" s="126"/>
      <c r="R3" s="126"/>
      <c r="S3" s="126"/>
      <c r="T3" s="126"/>
      <c r="U3" s="126"/>
      <c r="V3" s="126"/>
      <c r="W3" s="126"/>
      <c r="X3" s="126"/>
      <c r="Y3" s="126"/>
      <c r="Z3" s="126"/>
      <c r="AA3" s="126"/>
    </row>
    <row r="4">
      <c r="A4" s="129"/>
      <c r="B4" s="132" t="s">
        <v>586</v>
      </c>
      <c r="C4" s="124"/>
      <c r="D4" s="124"/>
      <c r="E4" s="124"/>
      <c r="F4" s="124"/>
      <c r="G4" s="124"/>
      <c r="H4" s="124"/>
      <c r="I4" s="124"/>
      <c r="J4" s="125"/>
      <c r="K4" s="126"/>
      <c r="L4" s="126"/>
      <c r="M4" s="126"/>
      <c r="N4" s="126"/>
      <c r="O4" s="126"/>
      <c r="P4" s="126"/>
      <c r="Q4" s="126"/>
      <c r="R4" s="126"/>
      <c r="S4" s="126"/>
      <c r="T4" s="126"/>
      <c r="U4" s="126"/>
      <c r="V4" s="126"/>
      <c r="W4" s="126"/>
      <c r="X4" s="126"/>
      <c r="Y4" s="126"/>
      <c r="Z4" s="126"/>
      <c r="AA4" s="126"/>
    </row>
    <row r="5">
      <c r="A5" s="133"/>
      <c r="B5" s="134">
        <v>1.0</v>
      </c>
      <c r="C5" s="135" t="s">
        <v>587</v>
      </c>
      <c r="D5" s="136" t="s">
        <v>588</v>
      </c>
      <c r="E5" s="136" t="s">
        <v>589</v>
      </c>
      <c r="F5" s="136" t="s">
        <v>590</v>
      </c>
      <c r="G5" s="137" t="s">
        <v>591</v>
      </c>
      <c r="H5" s="137" t="s">
        <v>592</v>
      </c>
      <c r="I5" s="137" t="s">
        <v>591</v>
      </c>
      <c r="J5" s="137" t="s">
        <v>593</v>
      </c>
      <c r="K5" s="138"/>
      <c r="L5" s="138"/>
      <c r="M5" s="138"/>
      <c r="N5" s="138"/>
      <c r="O5" s="138"/>
      <c r="P5" s="138"/>
      <c r="Q5" s="138"/>
      <c r="R5" s="138"/>
      <c r="S5" s="138"/>
      <c r="T5" s="138"/>
      <c r="U5" s="138"/>
      <c r="V5" s="138"/>
      <c r="W5" s="138"/>
      <c r="X5" s="138"/>
      <c r="Y5" s="138"/>
      <c r="Z5" s="138"/>
      <c r="AA5" s="138"/>
    </row>
    <row r="6">
      <c r="A6" s="133"/>
      <c r="B6" s="134">
        <v>2.0</v>
      </c>
      <c r="C6" s="135" t="s">
        <v>594</v>
      </c>
      <c r="D6" s="136" t="s">
        <v>595</v>
      </c>
      <c r="E6" s="136" t="s">
        <v>593</v>
      </c>
      <c r="F6" s="136" t="s">
        <v>593</v>
      </c>
      <c r="G6" s="137" t="s">
        <v>593</v>
      </c>
      <c r="H6" s="137" t="s">
        <v>593</v>
      </c>
      <c r="I6" s="137" t="s">
        <v>593</v>
      </c>
      <c r="J6" s="137" t="s">
        <v>593</v>
      </c>
      <c r="K6" s="138"/>
      <c r="L6" s="138"/>
      <c r="M6" s="138"/>
      <c r="N6" s="138"/>
      <c r="O6" s="138"/>
      <c r="P6" s="138"/>
      <c r="Q6" s="138"/>
      <c r="R6" s="138"/>
      <c r="S6" s="138"/>
      <c r="T6" s="138"/>
      <c r="U6" s="138"/>
      <c r="V6" s="138"/>
      <c r="W6" s="138"/>
      <c r="X6" s="138"/>
      <c r="Y6" s="138"/>
      <c r="Z6" s="138"/>
      <c r="AA6" s="138"/>
    </row>
    <row r="7" ht="42.0" customHeight="1">
      <c r="A7" s="133"/>
      <c r="B7" s="134">
        <v>3.0</v>
      </c>
      <c r="C7" s="135" t="s">
        <v>596</v>
      </c>
      <c r="D7" s="136" t="s">
        <v>597</v>
      </c>
      <c r="E7" s="136" t="s">
        <v>598</v>
      </c>
      <c r="F7" s="136" t="s">
        <v>593</v>
      </c>
      <c r="G7" s="137" t="s">
        <v>593</v>
      </c>
      <c r="H7" s="137" t="s">
        <v>593</v>
      </c>
      <c r="I7" s="137" t="s">
        <v>593</v>
      </c>
      <c r="J7" s="137" t="s">
        <v>593</v>
      </c>
      <c r="K7" s="138"/>
      <c r="L7" s="138"/>
      <c r="M7" s="138"/>
      <c r="N7" s="138"/>
      <c r="O7" s="138"/>
      <c r="P7" s="138"/>
      <c r="Q7" s="138"/>
      <c r="R7" s="138"/>
      <c r="S7" s="138"/>
      <c r="T7" s="138"/>
      <c r="U7" s="138"/>
      <c r="V7" s="138"/>
      <c r="W7" s="138"/>
      <c r="X7" s="138"/>
      <c r="Y7" s="138"/>
      <c r="Z7" s="138"/>
      <c r="AA7" s="138"/>
    </row>
    <row r="8" ht="41.25" customHeight="1">
      <c r="A8" s="133"/>
      <c r="B8" s="134">
        <v>4.0</v>
      </c>
      <c r="C8" s="139" t="s">
        <v>599</v>
      </c>
      <c r="D8" s="140" t="s">
        <v>600</v>
      </c>
      <c r="E8" s="140" t="s">
        <v>601</v>
      </c>
      <c r="F8" s="140" t="s">
        <v>602</v>
      </c>
      <c r="G8" s="140" t="s">
        <v>603</v>
      </c>
      <c r="H8" s="140" t="s">
        <v>604</v>
      </c>
      <c r="I8" s="140" t="s">
        <v>593</v>
      </c>
      <c r="J8" s="140" t="s">
        <v>593</v>
      </c>
      <c r="K8" s="138"/>
      <c r="L8" s="138"/>
      <c r="M8" s="138"/>
      <c r="N8" s="138"/>
      <c r="O8" s="138"/>
      <c r="P8" s="138"/>
      <c r="Q8" s="138"/>
      <c r="R8" s="138"/>
      <c r="S8" s="138"/>
      <c r="T8" s="138"/>
      <c r="U8" s="138"/>
      <c r="V8" s="138"/>
      <c r="W8" s="138"/>
      <c r="X8" s="138"/>
      <c r="Y8" s="138"/>
      <c r="Z8" s="138"/>
      <c r="AA8" s="138"/>
    </row>
    <row r="9">
      <c r="A9" s="129"/>
      <c r="B9" s="132" t="s">
        <v>605</v>
      </c>
      <c r="C9" s="124"/>
      <c r="D9" s="124"/>
      <c r="E9" s="124"/>
      <c r="F9" s="124"/>
      <c r="G9" s="124"/>
      <c r="H9" s="124"/>
      <c r="I9" s="124"/>
      <c r="J9" s="125"/>
      <c r="K9" s="126"/>
      <c r="L9" s="126"/>
      <c r="M9" s="126"/>
      <c r="N9" s="126"/>
      <c r="O9" s="126"/>
      <c r="P9" s="126"/>
      <c r="Q9" s="126"/>
      <c r="R9" s="126"/>
      <c r="S9" s="126"/>
      <c r="T9" s="126"/>
      <c r="U9" s="126"/>
      <c r="V9" s="126"/>
      <c r="W9" s="126"/>
      <c r="X9" s="126"/>
      <c r="Y9" s="126"/>
      <c r="Z9" s="126"/>
      <c r="AA9" s="126"/>
    </row>
    <row r="10">
      <c r="A10" s="133"/>
      <c r="B10" s="134">
        <v>5.0</v>
      </c>
      <c r="C10" s="141" t="s">
        <v>606</v>
      </c>
      <c r="D10" s="142" t="s">
        <v>607</v>
      </c>
      <c r="E10" s="142" t="s">
        <v>608</v>
      </c>
      <c r="F10" s="142" t="s">
        <v>593</v>
      </c>
      <c r="G10" s="142" t="s">
        <v>609</v>
      </c>
      <c r="H10" s="142" t="s">
        <v>610</v>
      </c>
      <c r="I10" s="142" t="s">
        <v>611</v>
      </c>
      <c r="J10" s="142" t="s">
        <v>593</v>
      </c>
      <c r="K10" s="126"/>
      <c r="L10" s="126"/>
      <c r="M10" s="126"/>
      <c r="N10" s="126"/>
      <c r="O10" s="126"/>
      <c r="P10" s="126"/>
      <c r="Q10" s="126"/>
      <c r="R10" s="126"/>
      <c r="S10" s="126"/>
      <c r="T10" s="126"/>
      <c r="U10" s="126"/>
      <c r="V10" s="126"/>
      <c r="W10" s="126"/>
      <c r="X10" s="126"/>
      <c r="Y10" s="126"/>
      <c r="Z10" s="126"/>
      <c r="AA10" s="126"/>
    </row>
    <row r="11">
      <c r="A11" s="133"/>
      <c r="B11" s="134">
        <v>6.0</v>
      </c>
      <c r="C11" s="143" t="s">
        <v>612</v>
      </c>
      <c r="D11" s="144" t="s">
        <v>613</v>
      </c>
      <c r="E11" s="144" t="s">
        <v>614</v>
      </c>
      <c r="F11" s="144" t="s">
        <v>614</v>
      </c>
      <c r="G11" s="142" t="s">
        <v>615</v>
      </c>
      <c r="H11" s="142" t="s">
        <v>593</v>
      </c>
      <c r="I11" s="142" t="s">
        <v>593</v>
      </c>
      <c r="J11" s="142" t="s">
        <v>593</v>
      </c>
      <c r="K11" s="126"/>
      <c r="L11" s="126"/>
      <c r="M11" s="126"/>
      <c r="N11" s="126"/>
      <c r="O11" s="126"/>
      <c r="P11" s="126"/>
      <c r="Q11" s="126"/>
      <c r="R11" s="126"/>
      <c r="S11" s="126"/>
      <c r="T11" s="126"/>
      <c r="U11" s="126"/>
      <c r="V11" s="126"/>
      <c r="W11" s="126"/>
      <c r="X11" s="126"/>
      <c r="Y11" s="126"/>
      <c r="Z11" s="126"/>
      <c r="AA11" s="126"/>
    </row>
    <row r="12">
      <c r="A12" s="133"/>
      <c r="B12" s="134">
        <v>7.0</v>
      </c>
      <c r="C12" s="145" t="s">
        <v>616</v>
      </c>
      <c r="D12" s="146" t="s">
        <v>617</v>
      </c>
      <c r="E12" s="146" t="s">
        <v>618</v>
      </c>
      <c r="F12" s="146" t="s">
        <v>593</v>
      </c>
      <c r="G12" s="142" t="s">
        <v>593</v>
      </c>
      <c r="H12" s="142" t="s">
        <v>619</v>
      </c>
      <c r="I12" s="142" t="s">
        <v>620</v>
      </c>
      <c r="J12" s="142" t="s">
        <v>593</v>
      </c>
      <c r="K12" s="126"/>
      <c r="L12" s="126"/>
      <c r="M12" s="126"/>
      <c r="N12" s="126"/>
      <c r="O12" s="126"/>
      <c r="P12" s="126"/>
      <c r="Q12" s="126"/>
      <c r="R12" s="126"/>
      <c r="S12" s="126"/>
      <c r="T12" s="126"/>
      <c r="U12" s="126"/>
      <c r="V12" s="126"/>
      <c r="W12" s="126"/>
      <c r="X12" s="126"/>
      <c r="Y12" s="126"/>
      <c r="Z12" s="126"/>
      <c r="AA12" s="126"/>
    </row>
    <row r="13">
      <c r="A13" s="133"/>
      <c r="B13" s="134">
        <v>8.0</v>
      </c>
      <c r="C13" s="143" t="s">
        <v>621</v>
      </c>
      <c r="D13" s="144" t="s">
        <v>622</v>
      </c>
      <c r="E13" s="144" t="s">
        <v>593</v>
      </c>
      <c r="F13" s="144" t="s">
        <v>593</v>
      </c>
      <c r="G13" s="144" t="s">
        <v>593</v>
      </c>
      <c r="H13" s="144" t="s">
        <v>593</v>
      </c>
      <c r="I13" s="144" t="s">
        <v>593</v>
      </c>
      <c r="J13" s="144" t="s">
        <v>593</v>
      </c>
      <c r="K13" s="126"/>
      <c r="L13" s="126"/>
      <c r="M13" s="126"/>
      <c r="N13" s="126"/>
      <c r="O13" s="126"/>
      <c r="P13" s="126"/>
      <c r="Q13" s="126"/>
      <c r="R13" s="126"/>
      <c r="S13" s="126"/>
      <c r="T13" s="126"/>
      <c r="U13" s="126"/>
      <c r="V13" s="126"/>
      <c r="W13" s="126"/>
      <c r="X13" s="126"/>
      <c r="Y13" s="126"/>
      <c r="Z13" s="126"/>
      <c r="AA13" s="126"/>
    </row>
    <row r="14">
      <c r="A14" s="129"/>
      <c r="B14" s="132" t="s">
        <v>623</v>
      </c>
      <c r="C14" s="124"/>
      <c r="D14" s="124"/>
      <c r="E14" s="124"/>
      <c r="F14" s="124"/>
      <c r="G14" s="124"/>
      <c r="H14" s="124"/>
      <c r="I14" s="124"/>
      <c r="J14" s="125"/>
      <c r="K14" s="126"/>
      <c r="L14" s="126"/>
      <c r="M14" s="126"/>
      <c r="N14" s="126"/>
      <c r="O14" s="126"/>
      <c r="P14" s="126"/>
      <c r="Q14" s="126"/>
      <c r="R14" s="126"/>
      <c r="S14" s="126"/>
      <c r="T14" s="126"/>
      <c r="U14" s="126"/>
      <c r="V14" s="126"/>
      <c r="W14" s="126"/>
      <c r="X14" s="126"/>
      <c r="Y14" s="126"/>
      <c r="Z14" s="126"/>
      <c r="AA14" s="126"/>
    </row>
    <row r="15">
      <c r="A15" s="147"/>
      <c r="B15" s="148">
        <v>9.0</v>
      </c>
      <c r="C15" s="145" t="s">
        <v>198</v>
      </c>
      <c r="D15" s="146" t="s">
        <v>624</v>
      </c>
      <c r="E15" s="146" t="s">
        <v>593</v>
      </c>
      <c r="F15" s="146" t="s">
        <v>593</v>
      </c>
      <c r="G15" s="142" t="s">
        <v>593</v>
      </c>
      <c r="H15" s="142" t="s">
        <v>593</v>
      </c>
      <c r="I15" s="142" t="s">
        <v>593</v>
      </c>
      <c r="J15" s="142" t="s">
        <v>593</v>
      </c>
      <c r="K15" s="126"/>
      <c r="L15" s="126"/>
      <c r="M15" s="126"/>
      <c r="N15" s="126"/>
      <c r="O15" s="126"/>
      <c r="P15" s="126"/>
      <c r="Q15" s="126"/>
      <c r="R15" s="126"/>
      <c r="S15" s="126"/>
      <c r="T15" s="126"/>
      <c r="U15" s="126"/>
      <c r="V15" s="126"/>
      <c r="W15" s="126"/>
      <c r="X15" s="126"/>
      <c r="Y15" s="126"/>
      <c r="Z15" s="126"/>
      <c r="AA15" s="126"/>
    </row>
    <row r="16">
      <c r="A16" s="147"/>
      <c r="B16" s="148">
        <v>10.0</v>
      </c>
      <c r="C16" s="145" t="s">
        <v>197</v>
      </c>
      <c r="D16" s="146" t="s">
        <v>625</v>
      </c>
      <c r="E16" s="146" t="s">
        <v>593</v>
      </c>
      <c r="F16" s="146" t="s">
        <v>593</v>
      </c>
      <c r="G16" s="142" t="s">
        <v>626</v>
      </c>
      <c r="H16" s="142" t="s">
        <v>627</v>
      </c>
      <c r="I16" s="142" t="s">
        <v>593</v>
      </c>
      <c r="J16" s="142" t="s">
        <v>593</v>
      </c>
      <c r="K16" s="126"/>
      <c r="L16" s="126"/>
      <c r="M16" s="126"/>
      <c r="N16" s="126"/>
      <c r="O16" s="126"/>
      <c r="P16" s="126"/>
      <c r="Q16" s="126"/>
      <c r="R16" s="126"/>
      <c r="S16" s="126"/>
      <c r="T16" s="126"/>
      <c r="U16" s="126"/>
      <c r="V16" s="126"/>
      <c r="W16" s="126"/>
      <c r="X16" s="126"/>
      <c r="Y16" s="126"/>
      <c r="Z16" s="126"/>
      <c r="AA16" s="126"/>
    </row>
    <row r="17">
      <c r="A17" s="147"/>
      <c r="B17" s="148">
        <v>11.0</v>
      </c>
      <c r="C17" s="141" t="s">
        <v>628</v>
      </c>
      <c r="D17" s="142" t="s">
        <v>629</v>
      </c>
      <c r="E17" s="142" t="s">
        <v>593</v>
      </c>
      <c r="F17" s="142" t="s">
        <v>593</v>
      </c>
      <c r="G17" s="142" t="s">
        <v>593</v>
      </c>
      <c r="H17" s="142" t="s">
        <v>630</v>
      </c>
      <c r="I17" s="142" t="s">
        <v>631</v>
      </c>
      <c r="J17" s="142" t="s">
        <v>593</v>
      </c>
      <c r="K17" s="126"/>
      <c r="L17" s="126"/>
      <c r="M17" s="126"/>
      <c r="N17" s="126"/>
      <c r="O17" s="126"/>
      <c r="P17" s="126"/>
      <c r="Q17" s="126"/>
      <c r="R17" s="126"/>
      <c r="S17" s="126"/>
      <c r="T17" s="126"/>
      <c r="U17" s="126"/>
      <c r="V17" s="126"/>
      <c r="W17" s="126"/>
      <c r="X17" s="126"/>
      <c r="Y17" s="126"/>
      <c r="Z17" s="126"/>
      <c r="AA17" s="126"/>
    </row>
    <row r="18">
      <c r="A18" s="149"/>
      <c r="B18" s="150" t="s">
        <v>632</v>
      </c>
      <c r="C18" s="124"/>
      <c r="D18" s="124"/>
      <c r="E18" s="124"/>
      <c r="F18" s="124"/>
      <c r="G18" s="124"/>
      <c r="H18" s="124"/>
      <c r="I18" s="124"/>
      <c r="J18" s="125"/>
      <c r="K18" s="126"/>
      <c r="L18" s="126"/>
      <c r="M18" s="126"/>
      <c r="N18" s="126"/>
      <c r="O18" s="126"/>
      <c r="P18" s="126"/>
      <c r="Q18" s="126"/>
      <c r="R18" s="126"/>
      <c r="S18" s="126"/>
      <c r="T18" s="126"/>
      <c r="U18" s="126"/>
      <c r="V18" s="126"/>
      <c r="W18" s="126"/>
      <c r="X18" s="126"/>
      <c r="Y18" s="126"/>
      <c r="Z18" s="126"/>
      <c r="AA18" s="126"/>
    </row>
    <row r="19">
      <c r="A19" s="147"/>
      <c r="B19" s="148">
        <v>12.0</v>
      </c>
      <c r="C19" s="145" t="s">
        <v>633</v>
      </c>
      <c r="D19" s="146" t="s">
        <v>634</v>
      </c>
      <c r="E19" s="146" t="s">
        <v>635</v>
      </c>
      <c r="F19" s="146" t="s">
        <v>593</v>
      </c>
      <c r="G19" s="142" t="s">
        <v>610</v>
      </c>
      <c r="H19" s="142" t="s">
        <v>636</v>
      </c>
      <c r="I19" s="142" t="s">
        <v>637</v>
      </c>
      <c r="J19" s="142" t="s">
        <v>637</v>
      </c>
      <c r="K19" s="126"/>
      <c r="L19" s="126"/>
      <c r="M19" s="126"/>
      <c r="N19" s="126"/>
      <c r="O19" s="126"/>
      <c r="P19" s="126"/>
      <c r="Q19" s="126"/>
      <c r="R19" s="126"/>
      <c r="S19" s="126"/>
      <c r="T19" s="126"/>
      <c r="U19" s="126"/>
      <c r="V19" s="126"/>
      <c r="W19" s="126"/>
      <c r="X19" s="126"/>
      <c r="Y19" s="126"/>
      <c r="Z19" s="126"/>
      <c r="AA19" s="126"/>
    </row>
    <row r="20">
      <c r="A20" s="147"/>
      <c r="B20" s="148">
        <v>13.0</v>
      </c>
      <c r="C20" s="141" t="s">
        <v>638</v>
      </c>
      <c r="D20" s="142" t="s">
        <v>639</v>
      </c>
      <c r="E20" s="142" t="s">
        <v>593</v>
      </c>
      <c r="F20" s="142" t="s">
        <v>640</v>
      </c>
      <c r="G20" s="142" t="s">
        <v>593</v>
      </c>
      <c r="H20" s="142" t="s">
        <v>593</v>
      </c>
      <c r="I20" s="142" t="s">
        <v>641</v>
      </c>
      <c r="J20" s="142" t="s">
        <v>593</v>
      </c>
      <c r="K20" s="126"/>
      <c r="L20" s="126"/>
      <c r="M20" s="126"/>
      <c r="N20" s="126"/>
      <c r="O20" s="126"/>
      <c r="P20" s="126"/>
      <c r="Q20" s="126"/>
      <c r="R20" s="126"/>
      <c r="S20" s="126"/>
      <c r="T20" s="126"/>
      <c r="U20" s="126"/>
      <c r="V20" s="126"/>
      <c r="W20" s="126"/>
      <c r="X20" s="126"/>
      <c r="Y20" s="126"/>
      <c r="Z20" s="126"/>
      <c r="AA20" s="126"/>
    </row>
    <row r="21">
      <c r="A21" s="147"/>
      <c r="B21" s="148">
        <v>14.0</v>
      </c>
      <c r="C21" s="143" t="s">
        <v>642</v>
      </c>
      <c r="D21" s="144" t="s">
        <v>643</v>
      </c>
      <c r="E21" s="144" t="s">
        <v>601</v>
      </c>
      <c r="F21" s="144" t="s">
        <v>601</v>
      </c>
      <c r="G21" s="144" t="s">
        <v>593</v>
      </c>
      <c r="H21" s="144" t="s">
        <v>593</v>
      </c>
      <c r="I21" s="144" t="s">
        <v>631</v>
      </c>
      <c r="J21" s="144" t="s">
        <v>593</v>
      </c>
      <c r="K21" s="126"/>
      <c r="L21" s="126"/>
      <c r="M21" s="126"/>
      <c r="N21" s="126"/>
      <c r="O21" s="126"/>
      <c r="P21" s="126"/>
      <c r="Q21" s="126"/>
      <c r="R21" s="126"/>
      <c r="S21" s="126"/>
      <c r="T21" s="126"/>
      <c r="U21" s="126"/>
      <c r="V21" s="126"/>
      <c r="W21" s="126"/>
      <c r="X21" s="126"/>
      <c r="Y21" s="126"/>
      <c r="Z21" s="126"/>
      <c r="AA21" s="126"/>
    </row>
    <row r="22">
      <c r="A22" s="129"/>
      <c r="B22" s="132" t="s">
        <v>644</v>
      </c>
      <c r="C22" s="124"/>
      <c r="D22" s="124"/>
      <c r="E22" s="124"/>
      <c r="F22" s="124"/>
      <c r="G22" s="124"/>
      <c r="H22" s="124"/>
      <c r="I22" s="124"/>
      <c r="J22" s="125"/>
      <c r="K22" s="126"/>
      <c r="L22" s="126"/>
      <c r="M22" s="126"/>
      <c r="N22" s="126"/>
      <c r="O22" s="126"/>
      <c r="P22" s="126"/>
      <c r="Q22" s="126"/>
      <c r="R22" s="126"/>
      <c r="S22" s="126"/>
      <c r="T22" s="126"/>
      <c r="U22" s="126"/>
      <c r="V22" s="126"/>
      <c r="W22" s="126"/>
      <c r="X22" s="126"/>
      <c r="Y22" s="126"/>
      <c r="Z22" s="126"/>
      <c r="AA22" s="126"/>
    </row>
    <row r="23">
      <c r="A23" s="147"/>
      <c r="B23" s="148">
        <v>15.0</v>
      </c>
      <c r="C23" s="145" t="s">
        <v>645</v>
      </c>
      <c r="D23" s="146" t="s">
        <v>646</v>
      </c>
      <c r="E23" s="146" t="s">
        <v>647</v>
      </c>
      <c r="F23" s="146" t="s">
        <v>593</v>
      </c>
      <c r="G23" s="142" t="s">
        <v>648</v>
      </c>
      <c r="H23" s="142" t="s">
        <v>593</v>
      </c>
      <c r="I23" s="142" t="s">
        <v>593</v>
      </c>
      <c r="J23" s="142" t="s">
        <v>593</v>
      </c>
      <c r="K23" s="126"/>
      <c r="L23" s="126"/>
      <c r="M23" s="126"/>
      <c r="N23" s="126"/>
      <c r="O23" s="126"/>
      <c r="P23" s="126"/>
      <c r="Q23" s="126"/>
      <c r="R23" s="126"/>
      <c r="S23" s="126"/>
      <c r="T23" s="126"/>
      <c r="U23" s="126"/>
      <c r="V23" s="126"/>
      <c r="W23" s="126"/>
      <c r="X23" s="126"/>
      <c r="Y23" s="126"/>
      <c r="Z23" s="126"/>
      <c r="AA23" s="126"/>
    </row>
    <row r="24">
      <c r="A24" s="147"/>
      <c r="B24" s="148">
        <v>16.0</v>
      </c>
      <c r="C24" s="143" t="s">
        <v>649</v>
      </c>
      <c r="D24" s="144" t="s">
        <v>650</v>
      </c>
      <c r="E24" s="144" t="s">
        <v>593</v>
      </c>
      <c r="F24" s="144" t="s">
        <v>593</v>
      </c>
      <c r="G24" s="144" t="s">
        <v>593</v>
      </c>
      <c r="H24" s="144" t="s">
        <v>651</v>
      </c>
      <c r="I24" s="144" t="s">
        <v>593</v>
      </c>
      <c r="J24" s="144" t="s">
        <v>593</v>
      </c>
      <c r="K24" s="126"/>
      <c r="L24" s="126"/>
      <c r="M24" s="126"/>
      <c r="N24" s="126"/>
      <c r="O24" s="126"/>
      <c r="P24" s="126"/>
      <c r="Q24" s="126"/>
      <c r="R24" s="126"/>
      <c r="S24" s="126"/>
      <c r="T24" s="126"/>
      <c r="U24" s="126"/>
      <c r="V24" s="126"/>
      <c r="W24" s="126"/>
      <c r="X24" s="126"/>
      <c r="Y24" s="126"/>
      <c r="Z24" s="126"/>
      <c r="AA24" s="126"/>
    </row>
    <row r="25">
      <c r="A25" s="129"/>
      <c r="B25" s="132" t="s">
        <v>652</v>
      </c>
      <c r="C25" s="124"/>
      <c r="D25" s="124"/>
      <c r="E25" s="124"/>
      <c r="F25" s="124"/>
      <c r="G25" s="124"/>
      <c r="H25" s="124"/>
      <c r="I25" s="124"/>
      <c r="J25" s="125"/>
      <c r="K25" s="126"/>
      <c r="L25" s="126"/>
      <c r="M25" s="126"/>
      <c r="N25" s="126"/>
      <c r="O25" s="126"/>
      <c r="P25" s="126"/>
      <c r="Q25" s="126"/>
      <c r="R25" s="126"/>
      <c r="S25" s="126"/>
      <c r="T25" s="126"/>
      <c r="U25" s="126"/>
      <c r="V25" s="126"/>
      <c r="W25" s="126"/>
      <c r="X25" s="126"/>
      <c r="Y25" s="126"/>
      <c r="Z25" s="126"/>
      <c r="AA25" s="126"/>
    </row>
    <row r="26">
      <c r="A26" s="147"/>
      <c r="B26" s="148">
        <v>17.0</v>
      </c>
      <c r="C26" s="141" t="s">
        <v>653</v>
      </c>
      <c r="D26" s="142" t="s">
        <v>654</v>
      </c>
      <c r="E26" s="142" t="s">
        <v>593</v>
      </c>
      <c r="F26" s="142" t="s">
        <v>655</v>
      </c>
      <c r="G26" s="142" t="s">
        <v>593</v>
      </c>
      <c r="H26" s="142" t="s">
        <v>610</v>
      </c>
      <c r="I26" s="142" t="s">
        <v>593</v>
      </c>
      <c r="J26" s="142" t="s">
        <v>593</v>
      </c>
      <c r="K26" s="126"/>
      <c r="L26" s="126"/>
      <c r="M26" s="126"/>
      <c r="N26" s="126"/>
      <c r="O26" s="126"/>
      <c r="P26" s="126"/>
      <c r="Q26" s="126"/>
      <c r="R26" s="126"/>
      <c r="S26" s="126"/>
      <c r="T26" s="126"/>
      <c r="U26" s="126"/>
      <c r="V26" s="126"/>
      <c r="W26" s="126"/>
      <c r="X26" s="126"/>
      <c r="Y26" s="126"/>
      <c r="Z26" s="126"/>
      <c r="AA26" s="126"/>
    </row>
    <row r="27">
      <c r="A27" s="147"/>
      <c r="B27" s="148">
        <v>18.0</v>
      </c>
      <c r="C27" s="141" t="s">
        <v>656</v>
      </c>
      <c r="D27" s="142" t="s">
        <v>657</v>
      </c>
      <c r="E27" s="142" t="s">
        <v>610</v>
      </c>
      <c r="F27" s="142" t="s">
        <v>593</v>
      </c>
      <c r="G27" s="142" t="s">
        <v>611</v>
      </c>
      <c r="H27" s="142" t="s">
        <v>610</v>
      </c>
      <c r="I27" s="142" t="s">
        <v>610</v>
      </c>
      <c r="J27" s="142" t="s">
        <v>593</v>
      </c>
      <c r="K27" s="126"/>
      <c r="L27" s="126"/>
      <c r="M27" s="126"/>
      <c r="N27" s="126"/>
      <c r="O27" s="126"/>
      <c r="P27" s="126"/>
      <c r="Q27" s="126"/>
      <c r="R27" s="126"/>
      <c r="S27" s="126"/>
      <c r="T27" s="126"/>
      <c r="U27" s="126"/>
      <c r="V27" s="126"/>
      <c r="W27" s="126"/>
      <c r="X27" s="126"/>
      <c r="Y27" s="126"/>
      <c r="Z27" s="126"/>
      <c r="AA27" s="126"/>
    </row>
    <row r="28">
      <c r="A28" s="149"/>
      <c r="B28" s="150" t="s">
        <v>658</v>
      </c>
      <c r="C28" s="124"/>
      <c r="D28" s="124"/>
      <c r="E28" s="124"/>
      <c r="F28" s="124"/>
      <c r="G28" s="124"/>
      <c r="H28" s="124"/>
      <c r="I28" s="124"/>
      <c r="J28" s="125"/>
      <c r="K28" s="126"/>
      <c r="L28" s="126"/>
      <c r="M28" s="126"/>
      <c r="N28" s="126"/>
      <c r="O28" s="126"/>
      <c r="P28" s="126"/>
      <c r="Q28" s="126"/>
      <c r="R28" s="126"/>
      <c r="S28" s="126"/>
      <c r="T28" s="126"/>
      <c r="U28" s="126"/>
      <c r="V28" s="126"/>
      <c r="W28" s="126"/>
      <c r="X28" s="126"/>
      <c r="Y28" s="126"/>
      <c r="Z28" s="126"/>
      <c r="AA28" s="126"/>
    </row>
    <row r="29">
      <c r="A29" s="147"/>
      <c r="B29" s="148">
        <v>19.0</v>
      </c>
      <c r="C29" s="141" t="s">
        <v>659</v>
      </c>
      <c r="D29" s="142" t="s">
        <v>660</v>
      </c>
      <c r="E29" s="142" t="s">
        <v>601</v>
      </c>
      <c r="F29" s="142" t="s">
        <v>601</v>
      </c>
      <c r="G29" s="142" t="s">
        <v>593</v>
      </c>
      <c r="H29" s="142" t="s">
        <v>630</v>
      </c>
      <c r="I29" s="142" t="s">
        <v>593</v>
      </c>
      <c r="J29" s="142" t="s">
        <v>593</v>
      </c>
      <c r="K29" s="126"/>
      <c r="L29" s="126"/>
      <c r="M29" s="126"/>
      <c r="N29" s="126"/>
      <c r="O29" s="126"/>
      <c r="P29" s="126"/>
      <c r="Q29" s="126"/>
      <c r="R29" s="126"/>
      <c r="S29" s="126"/>
      <c r="T29" s="126"/>
      <c r="U29" s="126"/>
      <c r="V29" s="126"/>
      <c r="W29" s="126"/>
      <c r="X29" s="126"/>
      <c r="Y29" s="126"/>
      <c r="Z29" s="126"/>
      <c r="AA29" s="126"/>
    </row>
    <row r="30">
      <c r="A30" s="147"/>
      <c r="B30" s="148">
        <v>20.0</v>
      </c>
      <c r="C30" s="141" t="s">
        <v>661</v>
      </c>
      <c r="D30" s="142" t="s">
        <v>662</v>
      </c>
      <c r="E30" s="142" t="s">
        <v>663</v>
      </c>
      <c r="F30" s="142" t="s">
        <v>593</v>
      </c>
      <c r="G30" s="142" t="s">
        <v>610</v>
      </c>
      <c r="H30" s="142" t="s">
        <v>663</v>
      </c>
      <c r="I30" s="142" t="s">
        <v>610</v>
      </c>
      <c r="J30" s="142" t="s">
        <v>593</v>
      </c>
      <c r="K30" s="126"/>
      <c r="L30" s="126"/>
      <c r="M30" s="126"/>
      <c r="N30" s="126"/>
      <c r="O30" s="126"/>
      <c r="P30" s="126"/>
      <c r="Q30" s="126"/>
      <c r="R30" s="126"/>
      <c r="S30" s="126"/>
      <c r="T30" s="126"/>
      <c r="U30" s="126"/>
      <c r="V30" s="126"/>
      <c r="W30" s="126"/>
      <c r="X30" s="126"/>
      <c r="Y30" s="126"/>
      <c r="Z30" s="126"/>
      <c r="AA30" s="126"/>
    </row>
    <row r="3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row>
    <row r="32">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row>
  </sheetData>
  <mergeCells count="9">
    <mergeCell ref="B25:J25"/>
    <mergeCell ref="B28:J28"/>
    <mergeCell ref="B1:J1"/>
    <mergeCell ref="B2:J2"/>
    <mergeCell ref="B4:J4"/>
    <mergeCell ref="B9:J9"/>
    <mergeCell ref="B14:J14"/>
    <mergeCell ref="B18:J18"/>
    <mergeCell ref="B22:J2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
    <col customWidth="1" min="2" max="2" width="2.75"/>
    <col customWidth="1" min="3" max="3" width="23.88"/>
    <col customWidth="1" min="4" max="4" width="63.5"/>
    <col customWidth="1" min="5" max="5" width="11.25"/>
    <col customWidth="1" min="6" max="6" width="21.5"/>
    <col customWidth="1" min="7" max="7" width="18.88"/>
  </cols>
  <sheetData>
    <row r="1">
      <c r="A1" s="12" t="s">
        <v>664</v>
      </c>
      <c r="B1" s="2"/>
      <c r="C1" s="2"/>
      <c r="D1" s="2"/>
      <c r="E1" s="2"/>
      <c r="F1" s="2"/>
      <c r="G1" s="3"/>
    </row>
    <row r="2" ht="5.25" customHeight="1"/>
    <row r="4">
      <c r="B4" s="152" t="s">
        <v>665</v>
      </c>
    </row>
    <row r="5">
      <c r="C5" s="71" t="s">
        <v>666</v>
      </c>
      <c r="D5" s="153">
        <f>MAX(B19:B206)-countif(E19:E206,"NA")</f>
        <v>58</v>
      </c>
    </row>
    <row r="6">
      <c r="C6" s="71" t="s">
        <v>667</v>
      </c>
      <c r="D6" s="153">
        <f>countif(E18:E206,"Yes")</f>
        <v>22</v>
      </c>
    </row>
    <row r="7">
      <c r="C7" s="71" t="s">
        <v>668</v>
      </c>
      <c r="D7" s="154">
        <f>1-D6/D5</f>
        <v>0.6206896552</v>
      </c>
    </row>
    <row r="8">
      <c r="D8" s="153"/>
    </row>
    <row r="9">
      <c r="B9" s="152" t="s">
        <v>669</v>
      </c>
    </row>
    <row r="10">
      <c r="D10" s="155" t="s">
        <v>670</v>
      </c>
    </row>
    <row r="11">
      <c r="C11" s="156" t="s">
        <v>671</v>
      </c>
      <c r="D11" s="153" t="str">
        <f>countifs($F$18:$F$204,C11,$E$18:$E$204,"Yes")&amp;"/"&amp;countifs($F$18:$F$204,C11)&amp; "                                    "&amp;roundup(countifs($F$18:$F$204,C11,$E$18:$E$204,"Yes")/countifs($F$18:$F$204,C11)*100,1)&amp;"%"</f>
        <v>8/25                                    32%</v>
      </c>
    </row>
    <row r="12">
      <c r="C12" s="156" t="s">
        <v>672</v>
      </c>
      <c r="D12" s="153" t="str">
        <f>countifs($F$18:$F$204,C12,$E$18:$E$204,"Yes")&amp;"/"&amp;countifs($F$18:$F$204,C12)&amp; "                                        "&amp;roundup(countifs($F$18:$F$204,C12,$E$18:$E$204,"Yes")/countifs($F$18:$F$204,C12)*100,1)&amp;"%"</f>
        <v>0/6                                        0%</v>
      </c>
    </row>
    <row r="13">
      <c r="C13" s="156" t="s">
        <v>673</v>
      </c>
      <c r="D13" s="153" t="str">
        <f>countifs($F$18:$F$204,C13,$E$18:$E$204,"Yes")&amp;"/"&amp;countifs($F$18:$F$204,C13)&amp; "                                      "&amp;roundup(countifs($F$18:$F$204,C13,$E$18:$E$204,"Yes")/countifs($F$18:$F$204,C13)*100,1)&amp;"%"</f>
        <v>3/4                                      75%</v>
      </c>
    </row>
    <row r="14">
      <c r="C14" s="156" t="s">
        <v>674</v>
      </c>
      <c r="D14" s="153" t="str">
        <f>countifs($F$18:$F$204,C14,$E$18:$E$204,"Yes")&amp;"/"&amp;countifs($F$18:$F$204,C14)&amp; "                                  "&amp;roundup(countifs($F$18:$F$204,C14,$E$18:$E$204,"Yes")/countifs($F$18:$F$204,C14)*100,1)&amp;"%"</f>
        <v>10/20                                  50%</v>
      </c>
    </row>
    <row r="16">
      <c r="B16" s="152" t="s">
        <v>675</v>
      </c>
    </row>
    <row r="18">
      <c r="B18" s="157" t="s">
        <v>578</v>
      </c>
      <c r="C18" s="157" t="s">
        <v>676</v>
      </c>
      <c r="D18" s="157" t="s">
        <v>18</v>
      </c>
      <c r="E18" s="158" t="s">
        <v>677</v>
      </c>
      <c r="F18" s="158" t="s">
        <v>678</v>
      </c>
      <c r="G18" s="158" t="s">
        <v>552</v>
      </c>
    </row>
    <row r="19">
      <c r="B19" s="159">
        <v>1.0</v>
      </c>
      <c r="C19" s="159" t="s">
        <v>679</v>
      </c>
      <c r="D19" s="159" t="s">
        <v>680</v>
      </c>
      <c r="E19" s="159" t="s">
        <v>339</v>
      </c>
      <c r="F19" s="160" t="s">
        <v>671</v>
      </c>
      <c r="G19" s="161" t="s">
        <v>681</v>
      </c>
    </row>
    <row r="20">
      <c r="B20" s="159">
        <f t="shared" ref="B20:B52" si="1">B19+1</f>
        <v>2</v>
      </c>
      <c r="C20" s="159" t="s">
        <v>682</v>
      </c>
      <c r="D20" s="159" t="s">
        <v>683</v>
      </c>
      <c r="E20" s="159" t="s">
        <v>353</v>
      </c>
      <c r="F20" s="160" t="s">
        <v>671</v>
      </c>
      <c r="G20" s="161" t="s">
        <v>681</v>
      </c>
    </row>
    <row r="21">
      <c r="B21" s="159">
        <f t="shared" si="1"/>
        <v>3</v>
      </c>
      <c r="C21" s="159" t="s">
        <v>684</v>
      </c>
      <c r="D21" s="159" t="s">
        <v>685</v>
      </c>
      <c r="E21" s="159" t="s">
        <v>339</v>
      </c>
      <c r="F21" s="160" t="s">
        <v>671</v>
      </c>
      <c r="G21" s="161" t="s">
        <v>681</v>
      </c>
    </row>
    <row r="22">
      <c r="B22" s="159">
        <f t="shared" si="1"/>
        <v>4</v>
      </c>
      <c r="C22" s="159" t="s">
        <v>686</v>
      </c>
      <c r="D22" s="159" t="s">
        <v>687</v>
      </c>
      <c r="E22" s="159" t="s">
        <v>353</v>
      </c>
      <c r="F22" s="160" t="s">
        <v>671</v>
      </c>
      <c r="G22" s="161" t="s">
        <v>681</v>
      </c>
    </row>
    <row r="23">
      <c r="B23" s="159">
        <f t="shared" si="1"/>
        <v>5</v>
      </c>
      <c r="C23" s="159" t="s">
        <v>688</v>
      </c>
      <c r="D23" s="159" t="s">
        <v>689</v>
      </c>
      <c r="E23" s="159" t="s">
        <v>353</v>
      </c>
      <c r="F23" s="160" t="s">
        <v>671</v>
      </c>
      <c r="G23" s="161" t="s">
        <v>690</v>
      </c>
    </row>
    <row r="24">
      <c r="B24" s="159">
        <f t="shared" si="1"/>
        <v>6</v>
      </c>
      <c r="C24" s="159" t="s">
        <v>691</v>
      </c>
      <c r="D24" s="159" t="s">
        <v>692</v>
      </c>
      <c r="E24" s="159" t="s">
        <v>339</v>
      </c>
      <c r="F24" s="160" t="s">
        <v>671</v>
      </c>
      <c r="G24" s="161" t="s">
        <v>693</v>
      </c>
    </row>
    <row r="25">
      <c r="B25" s="159">
        <f t="shared" si="1"/>
        <v>7</v>
      </c>
      <c r="C25" s="159" t="s">
        <v>694</v>
      </c>
      <c r="D25" s="159" t="s">
        <v>695</v>
      </c>
      <c r="E25" s="159" t="s">
        <v>339</v>
      </c>
      <c r="F25" s="160" t="s">
        <v>671</v>
      </c>
      <c r="G25" s="161"/>
    </row>
    <row r="26">
      <c r="B26" s="159">
        <f t="shared" si="1"/>
        <v>8</v>
      </c>
      <c r="C26" s="159" t="s">
        <v>696</v>
      </c>
      <c r="D26" s="159" t="s">
        <v>697</v>
      </c>
      <c r="E26" s="159" t="s">
        <v>339</v>
      </c>
      <c r="F26" s="160" t="s">
        <v>671</v>
      </c>
      <c r="G26" s="161" t="s">
        <v>690</v>
      </c>
    </row>
    <row r="27">
      <c r="B27" s="159">
        <f t="shared" si="1"/>
        <v>9</v>
      </c>
      <c r="C27" s="159" t="s">
        <v>698</v>
      </c>
      <c r="D27" s="159" t="s">
        <v>699</v>
      </c>
      <c r="E27" s="159" t="s">
        <v>339</v>
      </c>
      <c r="F27" s="160" t="s">
        <v>671</v>
      </c>
      <c r="G27" s="161" t="s">
        <v>690</v>
      </c>
    </row>
    <row r="28">
      <c r="B28" s="159">
        <f t="shared" si="1"/>
        <v>10</v>
      </c>
      <c r="C28" s="159" t="s">
        <v>700</v>
      </c>
      <c r="D28" s="159" t="s">
        <v>701</v>
      </c>
      <c r="E28" s="159" t="s">
        <v>339</v>
      </c>
      <c r="F28" s="160" t="s">
        <v>671</v>
      </c>
      <c r="G28" s="161" t="s">
        <v>693</v>
      </c>
    </row>
    <row r="29">
      <c r="B29" s="159">
        <f t="shared" si="1"/>
        <v>11</v>
      </c>
      <c r="C29" s="159" t="s">
        <v>702</v>
      </c>
      <c r="D29" s="159" t="s">
        <v>703</v>
      </c>
      <c r="E29" s="159" t="s">
        <v>339</v>
      </c>
      <c r="F29" s="160" t="s">
        <v>671</v>
      </c>
      <c r="G29" s="161" t="s">
        <v>693</v>
      </c>
    </row>
    <row r="30">
      <c r="B30" s="159">
        <f t="shared" si="1"/>
        <v>12</v>
      </c>
      <c r="C30" s="159" t="s">
        <v>704</v>
      </c>
      <c r="D30" s="159" t="s">
        <v>705</v>
      </c>
      <c r="E30" s="159" t="s">
        <v>339</v>
      </c>
      <c r="F30" s="160" t="s">
        <v>671</v>
      </c>
      <c r="G30" s="161" t="s">
        <v>693</v>
      </c>
    </row>
    <row r="31">
      <c r="B31" s="159">
        <f t="shared" si="1"/>
        <v>13</v>
      </c>
      <c r="C31" s="159" t="s">
        <v>706</v>
      </c>
      <c r="D31" s="159" t="s">
        <v>707</v>
      </c>
      <c r="E31" s="159" t="s">
        <v>339</v>
      </c>
      <c r="F31" s="160" t="s">
        <v>671</v>
      </c>
      <c r="G31" s="161" t="s">
        <v>693</v>
      </c>
    </row>
    <row r="32">
      <c r="B32" s="159">
        <f t="shared" si="1"/>
        <v>14</v>
      </c>
      <c r="C32" s="159" t="s">
        <v>708</v>
      </c>
      <c r="D32" s="159" t="s">
        <v>709</v>
      </c>
      <c r="E32" s="159" t="s">
        <v>339</v>
      </c>
      <c r="F32" s="160" t="s">
        <v>672</v>
      </c>
      <c r="G32" s="161" t="s">
        <v>710</v>
      </c>
    </row>
    <row r="33">
      <c r="B33" s="159">
        <f t="shared" si="1"/>
        <v>15</v>
      </c>
      <c r="C33" s="159" t="s">
        <v>711</v>
      </c>
      <c r="D33" s="159" t="s">
        <v>712</v>
      </c>
      <c r="E33" s="159" t="s">
        <v>339</v>
      </c>
      <c r="F33" s="160" t="s">
        <v>672</v>
      </c>
      <c r="G33" s="161" t="s">
        <v>710</v>
      </c>
    </row>
    <row r="34">
      <c r="B34" s="159">
        <f t="shared" si="1"/>
        <v>16</v>
      </c>
      <c r="C34" s="159" t="s">
        <v>713</v>
      </c>
      <c r="D34" s="159" t="s">
        <v>714</v>
      </c>
      <c r="E34" s="159" t="s">
        <v>339</v>
      </c>
      <c r="F34" s="160" t="s">
        <v>672</v>
      </c>
      <c r="G34" s="161" t="s">
        <v>715</v>
      </c>
    </row>
    <row r="35">
      <c r="B35" s="159">
        <f t="shared" si="1"/>
        <v>17</v>
      </c>
      <c r="C35" s="159" t="s">
        <v>716</v>
      </c>
      <c r="D35" s="159" t="s">
        <v>717</v>
      </c>
      <c r="E35" s="159" t="s">
        <v>353</v>
      </c>
      <c r="F35" s="160" t="s">
        <v>674</v>
      </c>
      <c r="G35" s="161" t="s">
        <v>715</v>
      </c>
    </row>
    <row r="36">
      <c r="B36" s="159">
        <f t="shared" si="1"/>
        <v>18</v>
      </c>
      <c r="C36" s="162" t="s">
        <v>718</v>
      </c>
      <c r="D36" s="162" t="s">
        <v>719</v>
      </c>
      <c r="E36" s="160" t="s">
        <v>353</v>
      </c>
      <c r="F36" s="160" t="s">
        <v>673</v>
      </c>
      <c r="G36" s="161" t="s">
        <v>720</v>
      </c>
    </row>
    <row r="37">
      <c r="B37" s="159">
        <f t="shared" si="1"/>
        <v>19</v>
      </c>
      <c r="C37" s="162" t="s">
        <v>721</v>
      </c>
      <c r="D37" s="162" t="s">
        <v>722</v>
      </c>
      <c r="E37" s="160" t="s">
        <v>339</v>
      </c>
      <c r="F37" s="160" t="s">
        <v>673</v>
      </c>
      <c r="G37" s="161" t="s">
        <v>720</v>
      </c>
    </row>
    <row r="38">
      <c r="B38" s="159">
        <f t="shared" si="1"/>
        <v>20</v>
      </c>
      <c r="C38" s="162" t="s">
        <v>723</v>
      </c>
      <c r="D38" s="162" t="s">
        <v>724</v>
      </c>
      <c r="E38" s="160" t="s">
        <v>353</v>
      </c>
      <c r="F38" s="160" t="s">
        <v>673</v>
      </c>
      <c r="G38" s="161" t="s">
        <v>720</v>
      </c>
    </row>
    <row r="39">
      <c r="B39" s="159">
        <f t="shared" si="1"/>
        <v>21</v>
      </c>
      <c r="C39" s="162" t="s">
        <v>725</v>
      </c>
      <c r="D39" s="162" t="s">
        <v>726</v>
      </c>
      <c r="E39" s="160" t="s">
        <v>353</v>
      </c>
      <c r="F39" s="160" t="s">
        <v>673</v>
      </c>
      <c r="G39" s="161" t="s">
        <v>720</v>
      </c>
    </row>
    <row r="40">
      <c r="B40" s="159">
        <f t="shared" si="1"/>
        <v>22</v>
      </c>
      <c r="C40" s="162" t="s">
        <v>727</v>
      </c>
      <c r="D40" s="162" t="s">
        <v>728</v>
      </c>
      <c r="E40" s="160" t="s">
        <v>339</v>
      </c>
      <c r="F40" s="160" t="s">
        <v>671</v>
      </c>
      <c r="G40" s="161" t="s">
        <v>720</v>
      </c>
    </row>
    <row r="41">
      <c r="B41" s="159">
        <f t="shared" si="1"/>
        <v>23</v>
      </c>
      <c r="C41" s="162" t="s">
        <v>729</v>
      </c>
      <c r="D41" s="162" t="s">
        <v>730</v>
      </c>
      <c r="E41" s="160" t="s">
        <v>339</v>
      </c>
      <c r="F41" s="160" t="s">
        <v>671</v>
      </c>
      <c r="G41" s="161" t="s">
        <v>720</v>
      </c>
    </row>
    <row r="42">
      <c r="B42" s="159">
        <f t="shared" si="1"/>
        <v>24</v>
      </c>
      <c r="C42" s="162" t="s">
        <v>731</v>
      </c>
      <c r="D42" s="162" t="s">
        <v>732</v>
      </c>
      <c r="E42" s="160" t="s">
        <v>339</v>
      </c>
      <c r="F42" s="160" t="s">
        <v>671</v>
      </c>
      <c r="G42" s="161" t="s">
        <v>720</v>
      </c>
    </row>
    <row r="43">
      <c r="B43" s="159">
        <f t="shared" si="1"/>
        <v>25</v>
      </c>
      <c r="C43" s="162" t="s">
        <v>733</v>
      </c>
      <c r="D43" s="162" t="s">
        <v>734</v>
      </c>
      <c r="E43" s="160" t="s">
        <v>339</v>
      </c>
      <c r="F43" s="160" t="s">
        <v>735</v>
      </c>
      <c r="G43" s="161" t="s">
        <v>720</v>
      </c>
    </row>
    <row r="44">
      <c r="B44" s="159">
        <f t="shared" si="1"/>
        <v>26</v>
      </c>
      <c r="C44" s="162" t="s">
        <v>736</v>
      </c>
      <c r="D44" s="162" t="s">
        <v>737</v>
      </c>
      <c r="E44" s="160" t="s">
        <v>339</v>
      </c>
      <c r="F44" s="160" t="s">
        <v>671</v>
      </c>
      <c r="G44" s="161" t="s">
        <v>720</v>
      </c>
    </row>
    <row r="45">
      <c r="B45" s="159">
        <f t="shared" si="1"/>
        <v>27</v>
      </c>
      <c r="C45" s="162" t="s">
        <v>738</v>
      </c>
      <c r="D45" s="162" t="s">
        <v>739</v>
      </c>
      <c r="E45" s="160" t="s">
        <v>353</v>
      </c>
      <c r="F45" s="160" t="s">
        <v>735</v>
      </c>
      <c r="G45" s="161" t="s">
        <v>720</v>
      </c>
    </row>
    <row r="46">
      <c r="B46" s="159">
        <f t="shared" si="1"/>
        <v>28</v>
      </c>
      <c r="C46" s="162" t="s">
        <v>740</v>
      </c>
      <c r="D46" s="162" t="s">
        <v>741</v>
      </c>
      <c r="E46" s="160" t="s">
        <v>339</v>
      </c>
      <c r="F46" s="160" t="s">
        <v>672</v>
      </c>
      <c r="G46" s="161" t="s">
        <v>742</v>
      </c>
    </row>
    <row r="47">
      <c r="B47" s="159">
        <f t="shared" si="1"/>
        <v>29</v>
      </c>
      <c r="C47" s="162" t="s">
        <v>743</v>
      </c>
      <c r="D47" s="162" t="s">
        <v>744</v>
      </c>
      <c r="E47" s="160" t="s">
        <v>339</v>
      </c>
      <c r="F47" s="160" t="s">
        <v>671</v>
      </c>
      <c r="G47" s="161" t="s">
        <v>742</v>
      </c>
    </row>
    <row r="48">
      <c r="B48" s="159">
        <f t="shared" si="1"/>
        <v>30</v>
      </c>
      <c r="C48" s="162" t="s">
        <v>745</v>
      </c>
      <c r="D48" s="162" t="s">
        <v>746</v>
      </c>
      <c r="E48" s="160" t="s">
        <v>339</v>
      </c>
      <c r="F48" s="160" t="s">
        <v>671</v>
      </c>
      <c r="G48" s="161" t="s">
        <v>742</v>
      </c>
    </row>
    <row r="49">
      <c r="B49" s="159">
        <f t="shared" si="1"/>
        <v>31</v>
      </c>
      <c r="C49" s="162" t="s">
        <v>747</v>
      </c>
      <c r="D49" s="162" t="s">
        <v>748</v>
      </c>
      <c r="E49" s="160" t="s">
        <v>339</v>
      </c>
      <c r="F49" s="160" t="s">
        <v>674</v>
      </c>
      <c r="G49" s="161" t="s">
        <v>742</v>
      </c>
    </row>
    <row r="50">
      <c r="B50" s="159">
        <f t="shared" si="1"/>
        <v>32</v>
      </c>
      <c r="C50" s="162" t="s">
        <v>749</v>
      </c>
      <c r="D50" s="162" t="s">
        <v>750</v>
      </c>
      <c r="E50" s="160" t="s">
        <v>353</v>
      </c>
      <c r="F50" s="160" t="s">
        <v>671</v>
      </c>
      <c r="G50" s="161" t="s">
        <v>742</v>
      </c>
    </row>
    <row r="51">
      <c r="B51" s="159">
        <f t="shared" si="1"/>
        <v>33</v>
      </c>
      <c r="C51" s="162" t="s">
        <v>751</v>
      </c>
      <c r="D51" s="162" t="s">
        <v>752</v>
      </c>
      <c r="E51" s="160" t="s">
        <v>339</v>
      </c>
      <c r="F51" s="160" t="s">
        <v>753</v>
      </c>
      <c r="G51" s="161" t="s">
        <v>742</v>
      </c>
    </row>
    <row r="52">
      <c r="B52" s="159">
        <f t="shared" si="1"/>
        <v>34</v>
      </c>
      <c r="C52" s="162" t="s">
        <v>754</v>
      </c>
      <c r="D52" s="162" t="s">
        <v>755</v>
      </c>
      <c r="E52" s="160" t="s">
        <v>353</v>
      </c>
      <c r="F52" s="160" t="s">
        <v>671</v>
      </c>
      <c r="G52" s="161" t="s">
        <v>742</v>
      </c>
    </row>
    <row r="53">
      <c r="B53" s="159">
        <v>35.0</v>
      </c>
      <c r="C53" s="159" t="s">
        <v>756</v>
      </c>
      <c r="D53" s="159" t="s">
        <v>757</v>
      </c>
      <c r="E53" s="160" t="s">
        <v>339</v>
      </c>
      <c r="F53" s="160" t="s">
        <v>671</v>
      </c>
      <c r="G53" s="161" t="s">
        <v>742</v>
      </c>
    </row>
    <row r="54">
      <c r="B54" s="163">
        <f t="shared" ref="B54:B75" si="2">B53+1</f>
        <v>36</v>
      </c>
      <c r="C54" s="162" t="s">
        <v>758</v>
      </c>
      <c r="D54" s="162" t="s">
        <v>759</v>
      </c>
      <c r="E54" s="160" t="s">
        <v>353</v>
      </c>
      <c r="F54" s="160" t="s">
        <v>674</v>
      </c>
      <c r="G54" s="161" t="s">
        <v>710</v>
      </c>
    </row>
    <row r="55">
      <c r="B55" s="163">
        <f t="shared" si="2"/>
        <v>37</v>
      </c>
      <c r="C55" s="162" t="s">
        <v>760</v>
      </c>
      <c r="D55" s="162" t="s">
        <v>761</v>
      </c>
      <c r="E55" s="160" t="s">
        <v>353</v>
      </c>
      <c r="F55" s="160" t="s">
        <v>671</v>
      </c>
      <c r="G55" s="161" t="s">
        <v>762</v>
      </c>
    </row>
    <row r="56">
      <c r="B56" s="163">
        <f t="shared" si="2"/>
        <v>38</v>
      </c>
      <c r="C56" s="162" t="s">
        <v>763</v>
      </c>
      <c r="D56" s="162" t="s">
        <v>764</v>
      </c>
      <c r="E56" s="160" t="s">
        <v>339</v>
      </c>
      <c r="F56" s="160" t="s">
        <v>674</v>
      </c>
      <c r="G56" s="161" t="s">
        <v>710</v>
      </c>
    </row>
    <row r="57">
      <c r="B57" s="163">
        <f t="shared" si="2"/>
        <v>39</v>
      </c>
      <c r="C57" s="162" t="s">
        <v>765</v>
      </c>
      <c r="D57" s="162" t="s">
        <v>766</v>
      </c>
      <c r="E57" s="160" t="s">
        <v>339</v>
      </c>
      <c r="F57" s="160" t="s">
        <v>674</v>
      </c>
      <c r="G57" s="161" t="s">
        <v>720</v>
      </c>
    </row>
    <row r="58">
      <c r="B58" s="163">
        <f t="shared" si="2"/>
        <v>40</v>
      </c>
      <c r="C58" s="162" t="s">
        <v>767</v>
      </c>
      <c r="D58" s="162" t="s">
        <v>768</v>
      </c>
      <c r="E58" s="160" t="s">
        <v>353</v>
      </c>
      <c r="F58" s="160" t="s">
        <v>674</v>
      </c>
      <c r="G58" s="161" t="s">
        <v>710</v>
      </c>
    </row>
    <row r="59">
      <c r="B59" s="163">
        <f t="shared" si="2"/>
        <v>41</v>
      </c>
      <c r="C59" s="162" t="s">
        <v>224</v>
      </c>
      <c r="D59" s="162" t="s">
        <v>769</v>
      </c>
      <c r="E59" s="160" t="s">
        <v>353</v>
      </c>
      <c r="F59" s="160" t="s">
        <v>674</v>
      </c>
      <c r="G59" s="161" t="s">
        <v>770</v>
      </c>
    </row>
    <row r="60">
      <c r="B60" s="163">
        <f t="shared" si="2"/>
        <v>42</v>
      </c>
      <c r="C60" s="162" t="s">
        <v>771</v>
      </c>
      <c r="D60" s="162" t="s">
        <v>772</v>
      </c>
      <c r="E60" s="160" t="s">
        <v>353</v>
      </c>
      <c r="F60" s="160" t="s">
        <v>674</v>
      </c>
      <c r="G60" s="161" t="s">
        <v>762</v>
      </c>
    </row>
    <row r="61">
      <c r="B61" s="163">
        <f t="shared" si="2"/>
        <v>43</v>
      </c>
      <c r="C61" s="162" t="s">
        <v>773</v>
      </c>
      <c r="D61" s="162" t="s">
        <v>774</v>
      </c>
      <c r="E61" s="160" t="s">
        <v>339</v>
      </c>
      <c r="F61" s="160" t="s">
        <v>672</v>
      </c>
      <c r="G61" s="161" t="s">
        <v>762</v>
      </c>
    </row>
    <row r="62">
      <c r="B62" s="163">
        <f t="shared" si="2"/>
        <v>44</v>
      </c>
      <c r="C62" s="162" t="s">
        <v>775</v>
      </c>
      <c r="D62" s="162" t="s">
        <v>776</v>
      </c>
      <c r="E62" s="160" t="s">
        <v>353</v>
      </c>
      <c r="F62" s="160" t="s">
        <v>674</v>
      </c>
      <c r="G62" s="161" t="s">
        <v>762</v>
      </c>
    </row>
    <row r="63">
      <c r="B63" s="163">
        <f t="shared" si="2"/>
        <v>45</v>
      </c>
      <c r="C63" s="162" t="s">
        <v>777</v>
      </c>
      <c r="D63" s="162" t="s">
        <v>778</v>
      </c>
      <c r="E63" s="160" t="s">
        <v>353</v>
      </c>
      <c r="F63" s="160" t="s">
        <v>674</v>
      </c>
      <c r="G63" s="161" t="s">
        <v>762</v>
      </c>
    </row>
    <row r="64">
      <c r="B64" s="163">
        <f t="shared" si="2"/>
        <v>46</v>
      </c>
      <c r="C64" s="162" t="s">
        <v>779</v>
      </c>
      <c r="D64" s="162" t="s">
        <v>780</v>
      </c>
      <c r="E64" s="160" t="s">
        <v>353</v>
      </c>
      <c r="F64" s="160" t="s">
        <v>671</v>
      </c>
      <c r="G64" s="161" t="s">
        <v>762</v>
      </c>
    </row>
    <row r="65">
      <c r="B65" s="163">
        <f t="shared" si="2"/>
        <v>47</v>
      </c>
      <c r="C65" s="159" t="s">
        <v>781</v>
      </c>
      <c r="D65" s="162" t="s">
        <v>782</v>
      </c>
      <c r="E65" s="160" t="s">
        <v>353</v>
      </c>
      <c r="F65" s="160" t="s">
        <v>671</v>
      </c>
      <c r="G65" s="161" t="s">
        <v>762</v>
      </c>
    </row>
    <row r="66">
      <c r="B66" s="163">
        <f t="shared" si="2"/>
        <v>48</v>
      </c>
      <c r="C66" s="162" t="s">
        <v>783</v>
      </c>
      <c r="D66" s="162" t="s">
        <v>784</v>
      </c>
      <c r="E66" s="160" t="s">
        <v>339</v>
      </c>
      <c r="F66" s="160" t="s">
        <v>674</v>
      </c>
      <c r="G66" s="161" t="s">
        <v>762</v>
      </c>
    </row>
    <row r="67">
      <c r="B67" s="163">
        <f t="shared" si="2"/>
        <v>49</v>
      </c>
      <c r="C67" s="162" t="s">
        <v>785</v>
      </c>
      <c r="D67" s="162" t="s">
        <v>786</v>
      </c>
      <c r="E67" s="160" t="s">
        <v>353</v>
      </c>
      <c r="F67" s="160" t="s">
        <v>674</v>
      </c>
      <c r="G67" s="161" t="s">
        <v>762</v>
      </c>
    </row>
    <row r="68">
      <c r="B68" s="163">
        <f t="shared" si="2"/>
        <v>50</v>
      </c>
      <c r="C68" s="162" t="s">
        <v>787</v>
      </c>
      <c r="D68" s="162" t="s">
        <v>788</v>
      </c>
      <c r="E68" s="160" t="s">
        <v>339</v>
      </c>
      <c r="F68" s="160" t="s">
        <v>674</v>
      </c>
      <c r="G68" s="161" t="s">
        <v>762</v>
      </c>
    </row>
    <row r="69">
      <c r="B69" s="163">
        <f t="shared" si="2"/>
        <v>51</v>
      </c>
      <c r="C69" s="162" t="s">
        <v>789</v>
      </c>
      <c r="D69" s="162" t="s">
        <v>790</v>
      </c>
      <c r="E69" s="160" t="s">
        <v>353</v>
      </c>
      <c r="F69" s="160" t="s">
        <v>674</v>
      </c>
      <c r="G69" s="161" t="s">
        <v>791</v>
      </c>
    </row>
    <row r="70">
      <c r="B70" s="163">
        <f t="shared" si="2"/>
        <v>52</v>
      </c>
      <c r="C70" s="162" t="s">
        <v>792</v>
      </c>
      <c r="D70" s="162" t="s">
        <v>793</v>
      </c>
      <c r="E70" s="160" t="s">
        <v>339</v>
      </c>
      <c r="F70" s="160" t="s">
        <v>674</v>
      </c>
      <c r="G70" s="161" t="s">
        <v>791</v>
      </c>
    </row>
    <row r="71">
      <c r="B71" s="163">
        <f t="shared" si="2"/>
        <v>53</v>
      </c>
      <c r="C71" s="159" t="s">
        <v>794</v>
      </c>
      <c r="D71" s="162" t="s">
        <v>795</v>
      </c>
      <c r="E71" s="160" t="s">
        <v>339</v>
      </c>
      <c r="F71" s="160" t="s">
        <v>672</v>
      </c>
      <c r="G71" s="161" t="s">
        <v>791</v>
      </c>
    </row>
    <row r="72">
      <c r="B72" s="163">
        <f t="shared" si="2"/>
        <v>54</v>
      </c>
      <c r="C72" s="162" t="s">
        <v>796</v>
      </c>
      <c r="D72" s="162" t="s">
        <v>797</v>
      </c>
      <c r="E72" s="160" t="s">
        <v>339</v>
      </c>
      <c r="F72" s="160" t="s">
        <v>674</v>
      </c>
      <c r="G72" s="161" t="s">
        <v>791</v>
      </c>
    </row>
    <row r="73">
      <c r="B73" s="163">
        <f t="shared" si="2"/>
        <v>55</v>
      </c>
      <c r="C73" s="159" t="s">
        <v>798</v>
      </c>
      <c r="D73" s="162" t="s">
        <v>799</v>
      </c>
      <c r="E73" s="160" t="s">
        <v>353</v>
      </c>
      <c r="F73" s="160" t="s">
        <v>674</v>
      </c>
      <c r="G73" s="161" t="s">
        <v>791</v>
      </c>
    </row>
    <row r="74">
      <c r="B74" s="163">
        <f t="shared" si="2"/>
        <v>56</v>
      </c>
      <c r="C74" s="159" t="s">
        <v>800</v>
      </c>
      <c r="D74" s="162" t="s">
        <v>801</v>
      </c>
      <c r="E74" s="160" t="s">
        <v>339</v>
      </c>
      <c r="F74" s="160" t="s">
        <v>674</v>
      </c>
      <c r="G74" s="161" t="s">
        <v>791</v>
      </c>
    </row>
    <row r="75">
      <c r="B75" s="163">
        <f t="shared" si="2"/>
        <v>57</v>
      </c>
      <c r="C75" s="159" t="s">
        <v>802</v>
      </c>
      <c r="D75" s="162" t="s">
        <v>803</v>
      </c>
      <c r="E75" s="160" t="s">
        <v>339</v>
      </c>
      <c r="F75" s="160" t="s">
        <v>674</v>
      </c>
      <c r="G75" s="161" t="s">
        <v>791</v>
      </c>
    </row>
    <row r="76">
      <c r="B76" s="159">
        <v>58.0</v>
      </c>
      <c r="C76" s="159" t="s">
        <v>804</v>
      </c>
      <c r="D76" s="162" t="s">
        <v>805</v>
      </c>
      <c r="E76" s="160" t="s">
        <v>339</v>
      </c>
      <c r="F76" s="160" t="s">
        <v>674</v>
      </c>
      <c r="G76" s="161" t="s">
        <v>693</v>
      </c>
    </row>
    <row r="77">
      <c r="B77" s="159"/>
      <c r="C77" s="162"/>
      <c r="D77" s="162"/>
      <c r="E77" s="160"/>
      <c r="F77" s="160"/>
      <c r="G77" s="160"/>
    </row>
    <row r="78">
      <c r="B78" s="159"/>
      <c r="C78" s="162"/>
      <c r="D78" s="162"/>
      <c r="E78" s="160"/>
      <c r="F78" s="160"/>
      <c r="G78" s="160"/>
    </row>
    <row r="79">
      <c r="B79" s="159"/>
      <c r="C79" s="162"/>
      <c r="D79" s="162"/>
      <c r="E79" s="160"/>
      <c r="F79" s="160"/>
      <c r="G79" s="160"/>
    </row>
    <row r="80">
      <c r="B80" s="159"/>
      <c r="C80" s="162"/>
      <c r="D80" s="162"/>
      <c r="E80" s="160"/>
      <c r="F80" s="160"/>
      <c r="G80" s="160"/>
    </row>
    <row r="81">
      <c r="B81" s="159"/>
      <c r="C81" s="162"/>
      <c r="D81" s="162"/>
      <c r="E81" s="160"/>
      <c r="F81" s="160"/>
      <c r="G81" s="160"/>
    </row>
    <row r="82">
      <c r="B82" s="159"/>
      <c r="C82" s="162"/>
      <c r="D82" s="162"/>
      <c r="E82" s="160"/>
      <c r="F82" s="160"/>
      <c r="G82" s="160"/>
    </row>
    <row r="83">
      <c r="B83" s="159"/>
      <c r="C83" s="162"/>
      <c r="D83" s="162"/>
      <c r="E83" s="160"/>
      <c r="F83" s="160"/>
      <c r="G83" s="160"/>
    </row>
    <row r="84">
      <c r="B84" s="159"/>
      <c r="C84" s="162"/>
      <c r="D84" s="162"/>
      <c r="E84" s="160"/>
      <c r="F84" s="160"/>
      <c r="G84" s="160"/>
    </row>
    <row r="85">
      <c r="B85" s="159"/>
      <c r="C85" s="162"/>
      <c r="D85" s="162"/>
      <c r="E85" s="160"/>
      <c r="F85" s="160"/>
      <c r="G85" s="160"/>
    </row>
    <row r="86">
      <c r="B86" s="159"/>
      <c r="C86" s="162"/>
      <c r="D86" s="162"/>
      <c r="E86" s="160"/>
      <c r="F86" s="160"/>
      <c r="G86" s="160"/>
    </row>
    <row r="87">
      <c r="B87" s="159"/>
      <c r="C87" s="162"/>
      <c r="D87" s="162"/>
      <c r="E87" s="160"/>
      <c r="F87" s="160"/>
      <c r="G87" s="160"/>
    </row>
    <row r="88">
      <c r="B88" s="159"/>
      <c r="C88" s="162"/>
      <c r="D88" s="162"/>
      <c r="E88" s="160"/>
      <c r="F88" s="160"/>
      <c r="G88" s="160"/>
    </row>
    <row r="89">
      <c r="B89" s="159"/>
      <c r="C89" s="162"/>
      <c r="D89" s="162"/>
      <c r="E89" s="160"/>
      <c r="F89" s="160"/>
      <c r="G89" s="160"/>
    </row>
    <row r="90">
      <c r="B90" s="159"/>
      <c r="C90" s="162"/>
      <c r="D90" s="162"/>
      <c r="E90" s="160"/>
      <c r="F90" s="160"/>
      <c r="G90" s="160"/>
    </row>
    <row r="91">
      <c r="B91" s="159"/>
      <c r="C91" s="162"/>
      <c r="D91" s="162"/>
      <c r="E91" s="160"/>
      <c r="F91" s="160"/>
      <c r="G91" s="160"/>
    </row>
    <row r="92">
      <c r="B92" s="159"/>
      <c r="C92" s="162"/>
      <c r="D92" s="162"/>
      <c r="E92" s="160"/>
      <c r="F92" s="160"/>
      <c r="G92" s="160"/>
    </row>
    <row r="93">
      <c r="B93" s="159"/>
      <c r="C93" s="162"/>
      <c r="D93" s="162"/>
      <c r="E93" s="160"/>
      <c r="F93" s="160"/>
      <c r="G93" s="160"/>
    </row>
    <row r="94">
      <c r="B94" s="159"/>
      <c r="C94" s="162"/>
      <c r="D94" s="162"/>
      <c r="E94" s="160"/>
      <c r="F94" s="160"/>
      <c r="G94" s="160"/>
    </row>
    <row r="95">
      <c r="B95" s="159"/>
      <c r="C95" s="162"/>
      <c r="D95" s="162"/>
      <c r="E95" s="160"/>
      <c r="F95" s="160"/>
      <c r="G95" s="160"/>
    </row>
    <row r="96">
      <c r="B96" s="159"/>
      <c r="C96" s="162"/>
      <c r="D96" s="162"/>
      <c r="E96" s="160"/>
      <c r="F96" s="160"/>
      <c r="G96" s="160"/>
    </row>
    <row r="97">
      <c r="B97" s="159"/>
      <c r="C97" s="162"/>
      <c r="D97" s="162"/>
      <c r="E97" s="160"/>
      <c r="F97" s="160"/>
      <c r="G97" s="160"/>
    </row>
    <row r="98">
      <c r="B98" s="159"/>
      <c r="C98" s="162"/>
      <c r="D98" s="162"/>
      <c r="E98" s="160"/>
      <c r="F98" s="160"/>
      <c r="G98" s="160"/>
    </row>
    <row r="99">
      <c r="B99" s="159"/>
      <c r="C99" s="162"/>
      <c r="D99" s="162"/>
      <c r="E99" s="160"/>
      <c r="F99" s="160"/>
      <c r="G99" s="160"/>
    </row>
    <row r="100">
      <c r="B100" s="159"/>
      <c r="C100" s="162"/>
      <c r="D100" s="162"/>
      <c r="E100" s="160"/>
      <c r="F100" s="160"/>
      <c r="G100" s="160"/>
    </row>
    <row r="101">
      <c r="B101" s="159"/>
      <c r="C101" s="162"/>
      <c r="D101" s="162"/>
      <c r="E101" s="160"/>
      <c r="F101" s="160"/>
      <c r="G101" s="160"/>
    </row>
    <row r="102">
      <c r="B102" s="159"/>
      <c r="C102" s="162"/>
      <c r="D102" s="162"/>
      <c r="E102" s="160"/>
      <c r="F102" s="160"/>
      <c r="G102" s="160"/>
    </row>
    <row r="103">
      <c r="B103" s="159"/>
      <c r="C103" s="162"/>
      <c r="D103" s="162"/>
      <c r="E103" s="160"/>
      <c r="F103" s="160"/>
      <c r="G103" s="160"/>
    </row>
    <row r="104">
      <c r="B104" s="159"/>
      <c r="C104" s="162"/>
      <c r="D104" s="162"/>
      <c r="E104" s="160"/>
      <c r="F104" s="160"/>
      <c r="G104" s="160"/>
    </row>
    <row r="105">
      <c r="B105" s="159"/>
      <c r="C105" s="162"/>
      <c r="D105" s="162"/>
      <c r="E105" s="160"/>
      <c r="F105" s="160"/>
      <c r="G105" s="160"/>
    </row>
    <row r="106">
      <c r="B106" s="159"/>
      <c r="C106" s="162"/>
      <c r="D106" s="162"/>
      <c r="E106" s="160"/>
      <c r="F106" s="160"/>
      <c r="G106" s="160"/>
    </row>
    <row r="107">
      <c r="B107" s="159"/>
      <c r="C107" s="162"/>
      <c r="D107" s="162"/>
      <c r="E107" s="160"/>
      <c r="F107" s="160"/>
      <c r="G107" s="160"/>
    </row>
    <row r="108">
      <c r="B108" s="159"/>
      <c r="C108" s="162"/>
      <c r="D108" s="162"/>
      <c r="E108" s="160"/>
      <c r="F108" s="160"/>
      <c r="G108" s="160"/>
    </row>
    <row r="109">
      <c r="B109" s="159"/>
      <c r="C109" s="162"/>
      <c r="D109" s="162"/>
      <c r="E109" s="160"/>
      <c r="F109" s="160"/>
      <c r="G109" s="160"/>
    </row>
    <row r="110">
      <c r="B110" s="159"/>
      <c r="C110" s="162"/>
      <c r="D110" s="162"/>
      <c r="E110" s="160"/>
      <c r="F110" s="160"/>
      <c r="G110" s="160"/>
    </row>
    <row r="111">
      <c r="B111" s="159"/>
      <c r="C111" s="162"/>
      <c r="D111" s="162"/>
      <c r="E111" s="160"/>
      <c r="F111" s="160"/>
      <c r="G111" s="160"/>
    </row>
    <row r="112">
      <c r="B112" s="159"/>
      <c r="C112" s="162"/>
      <c r="D112" s="162"/>
      <c r="E112" s="160"/>
      <c r="F112" s="160"/>
      <c r="G112" s="160"/>
    </row>
    <row r="113">
      <c r="B113" s="159"/>
      <c r="C113" s="162"/>
      <c r="D113" s="162"/>
      <c r="E113" s="160"/>
      <c r="F113" s="160"/>
      <c r="G113" s="160"/>
    </row>
    <row r="114">
      <c r="B114" s="159"/>
      <c r="C114" s="162"/>
      <c r="D114" s="162"/>
      <c r="E114" s="160"/>
      <c r="F114" s="160"/>
      <c r="G114" s="160"/>
    </row>
    <row r="115">
      <c r="B115" s="159"/>
      <c r="C115" s="162"/>
      <c r="D115" s="162"/>
      <c r="E115" s="160"/>
      <c r="F115" s="160"/>
      <c r="G115" s="160"/>
    </row>
    <row r="116">
      <c r="B116" s="159"/>
      <c r="C116" s="162"/>
      <c r="D116" s="162"/>
      <c r="E116" s="160"/>
      <c r="F116" s="160"/>
      <c r="G116" s="160"/>
    </row>
    <row r="117">
      <c r="B117" s="159"/>
      <c r="C117" s="162"/>
      <c r="D117" s="162"/>
      <c r="E117" s="160"/>
      <c r="F117" s="160"/>
      <c r="G117" s="160"/>
    </row>
    <row r="118">
      <c r="B118" s="159"/>
      <c r="C118" s="162"/>
      <c r="D118" s="162"/>
      <c r="E118" s="160"/>
      <c r="F118" s="160"/>
      <c r="G118" s="160"/>
    </row>
    <row r="119">
      <c r="B119" s="159"/>
      <c r="C119" s="162"/>
      <c r="D119" s="162"/>
      <c r="E119" s="160"/>
      <c r="F119" s="160"/>
      <c r="G119" s="160"/>
    </row>
    <row r="120">
      <c r="B120" s="159"/>
      <c r="C120" s="162"/>
      <c r="D120" s="162"/>
      <c r="E120" s="160"/>
      <c r="F120" s="160"/>
      <c r="G120" s="160"/>
    </row>
    <row r="121">
      <c r="B121" s="159"/>
      <c r="C121" s="162"/>
      <c r="D121" s="162"/>
      <c r="E121" s="160"/>
      <c r="F121" s="160"/>
      <c r="G121" s="160"/>
    </row>
  </sheetData>
  <autoFilter ref="$B$18:$G$76"/>
  <mergeCells count="4">
    <mergeCell ref="A1:G1"/>
    <mergeCell ref="B4:D4"/>
    <mergeCell ref="B9:D9"/>
    <mergeCell ref="B16:D16"/>
  </mergeCells>
  <dataValidations>
    <dataValidation type="list" allowBlank="1" showErrorMessage="1" sqref="E19:E76">
      <formula1>"No,Yes,NA"</formula1>
    </dataValidation>
  </dataValidation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8.63"/>
    <col customWidth="1" min="3" max="3" width="26.88"/>
    <col customWidth="1" min="4" max="4" width="46.25"/>
    <col customWidth="1" min="5" max="5" width="53.5"/>
  </cols>
  <sheetData>
    <row r="1">
      <c r="A1" s="11"/>
      <c r="B1" s="12" t="s">
        <v>806</v>
      </c>
      <c r="C1" s="2"/>
      <c r="D1" s="2"/>
      <c r="E1" s="3"/>
    </row>
    <row r="3">
      <c r="B3" s="77" t="s">
        <v>807</v>
      </c>
      <c r="C3" s="77" t="s">
        <v>808</v>
      </c>
      <c r="D3" s="77" t="s">
        <v>809</v>
      </c>
      <c r="E3" s="77" t="s">
        <v>810</v>
      </c>
    </row>
    <row r="4">
      <c r="B4" s="79" t="s">
        <v>811</v>
      </c>
      <c r="C4" s="79" t="s">
        <v>812</v>
      </c>
      <c r="D4" s="79" t="s">
        <v>813</v>
      </c>
      <c r="E4" s="164" t="s">
        <v>814</v>
      </c>
    </row>
    <row r="5">
      <c r="B5" s="79" t="s">
        <v>815</v>
      </c>
      <c r="C5" s="79" t="s">
        <v>816</v>
      </c>
      <c r="D5" s="79" t="s">
        <v>817</v>
      </c>
      <c r="E5" s="165" t="s">
        <v>818</v>
      </c>
    </row>
    <row r="6">
      <c r="B6" s="79" t="s">
        <v>819</v>
      </c>
      <c r="C6" s="79" t="s">
        <v>820</v>
      </c>
      <c r="D6" s="79" t="s">
        <v>821</v>
      </c>
      <c r="E6" s="165" t="s">
        <v>822</v>
      </c>
    </row>
    <row r="7">
      <c r="B7" s="79" t="s">
        <v>823</v>
      </c>
      <c r="C7" s="79" t="s">
        <v>824</v>
      </c>
      <c r="D7" s="79" t="s">
        <v>825</v>
      </c>
      <c r="E7" s="164" t="s">
        <v>826</v>
      </c>
    </row>
    <row r="8">
      <c r="B8" s="79" t="s">
        <v>827</v>
      </c>
      <c r="C8" s="79" t="s">
        <v>828</v>
      </c>
      <c r="D8" s="79" t="s">
        <v>829</v>
      </c>
      <c r="E8" s="164" t="s">
        <v>830</v>
      </c>
    </row>
    <row r="9">
      <c r="B9" s="79" t="s">
        <v>831</v>
      </c>
      <c r="C9" s="79" t="s">
        <v>832</v>
      </c>
      <c r="D9" s="79" t="s">
        <v>833</v>
      </c>
      <c r="E9" s="165" t="s">
        <v>834</v>
      </c>
    </row>
    <row r="10">
      <c r="B10" s="79" t="s">
        <v>835</v>
      </c>
      <c r="C10" s="79" t="s">
        <v>836</v>
      </c>
      <c r="D10" s="79" t="s">
        <v>837</v>
      </c>
      <c r="E10" s="166" t="s">
        <v>838</v>
      </c>
    </row>
  </sheetData>
  <mergeCells count="1">
    <mergeCell ref="B1:E1"/>
  </mergeCells>
  <drawing r:id="rId1"/>
</worksheet>
</file>